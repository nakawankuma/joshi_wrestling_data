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4AEF34F7-3520-42DF-9F20-5821CE36BEFD}" xr6:coauthVersionLast="47" xr6:coauthVersionMax="47" xr10:uidLastSave="{00000000-0000-0000-0000-000000000000}"/>
  <bookViews>
    <workbookView xWindow="5973" yWindow="553" windowWidth="19020" windowHeight="13467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Y2" i="1" a="1"/>
  <c r="Y2" i="1" s="1"/>
  <c r="Z2" i="1" a="1"/>
  <c r="Z2" i="1" s="1"/>
  <c r="D2" i="1" a="1"/>
  <c r="D2" i="1" s="1"/>
  <c r="E2" i="1" a="1"/>
  <c r="E2" i="1" s="1"/>
  <c r="F2" i="1" a="1"/>
  <c r="F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<sst xmlns="http://schemas.openxmlformats.org/spreadsheetml/2006/main" count="232" uniqueCount="231">
  <si>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</si>
  <si>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</si>
  <si>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</si>
  <si>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</si>
  <si>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</si>
  <si>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</si>
  <si>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</si>
  <si>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</si>
  <si>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</si>
  <si>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</si>
  <si>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</si>
  <si>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</si>
  <si>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</si>
  <si>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</si>
  <si>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</si>
  <si>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ビクトリア弓月
田中きずな
勇気みなみ
瀬戸レア</t>
    <rPh sb="8" eb="10">
      <t>タナカ</t>
    </rPh>
    <rPh sb="14" eb="16">
      <t>ユウキ</t>
    </rPh>
    <rPh sb="20" eb="22">
      <t>セト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</si>
  <si>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</si>
  <si>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</si>
  <si>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</si>
  <si>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</si>
  <si>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</si>
  <si>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</si>
  <si>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NORI</t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</si>
  <si>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</si>
  <si>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</si>
  <si>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</si>
  <si>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</si>
  <si>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</si>
  <si>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</si>
  <si>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</si>
  <si>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</si>
  <si>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</si>
  <si>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</si>
  <si>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</si>
  <si>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</si>
  <si>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</si>
  <si>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</si>
  <si>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</si>
  <si>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</si>
  <si>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</si>
  <si>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</si>
  <si>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</si>
  <si>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</si>
  <si>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</si>
  <si>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</si>
  <si>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</si>
  <si>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</si>
  <si>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遠藤有栖
鳥喰かや
荒井優希</t>
    <rPh sb="0" eb="4">
      <t>エンドウアリス</t>
    </rPh>
    <rPh sb="5" eb="7">
      <t>トリバミ</t>
    </rPh>
    <rPh sb="10" eb="14">
      <t>アライユキ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</si>
  <si>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</si>
  <si>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</si>
  <si>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</si>
  <si>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</si>
  <si>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</si>
  <si>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なる
夏葵</t>
    <rPh sb="3" eb="5">
      <t>ナツキ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</si>
  <si>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</si>
  <si>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</si>
  <si>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</si>
  <si>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</si>
  <si>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</si>
  <si>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</si>
  <si>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</si>
  <si>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</si>
  <si>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</si>
  <si>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</si>
  <si>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</si>
  <si>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</si>
  <si>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</si>
  <si>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</si>
  <si>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松本都</t>
    <rPh sb="0" eb="2">
      <t>マツモト</t>
    </rPh>
    <rPh sb="2" eb="3">
      <t>ミヤコ</t>
    </rPh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</si>
  <si>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</si>
  <si>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</si>
  <si>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</si>
  <si>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コグマ
葉月
AZM</t>
    <phoneticPr fontId="1"/>
  </si>
  <si>
    <t>鹿島沙希</t>
    <phoneticPr fontId="1"/>
  </si>
  <si>
    <t>刀羅ナツコ
琉悪夏</t>
    <rPh sb="6" eb="9">
      <t>ルアカ</t>
    </rPh>
    <phoneticPr fontId="1"/>
  </si>
  <si>
    <t>鉄アキラ
姫ゆりあ
金屋あんね
儛島エマ
古沢稀杏</t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</si>
  <si>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</si>
  <si>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</si>
  <si>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</si>
  <si>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</si>
  <si>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</si>
  <si>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</si>
  <si>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奏衣エリー
谷綿ヒヨリ
広海カホ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</si>
  <si>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</si>
  <si>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</si>
  <si>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</si>
  <si>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</si>
  <si>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</si>
  <si>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</si>
  <si>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</si>
  <si>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</si>
  <si>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</si>
  <si>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</si>
  <si>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</si>
  <si>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</si>
  <si>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</si>
  <si>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</si>
  <si>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</si>
  <si>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</si>
  <si>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</si>
  <si>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</si>
  <si>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谷もも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</si>
  <si>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</si>
  <si>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</si>
  <si>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</si>
  <si>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</si>
  <si>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</si>
  <si>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</si>
  <si>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</si>
  <si>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</si>
  <si>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</si>
  <si>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</si>
  <si>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</si>
  <si>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</si>
  <si>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</si>
  <si>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</si>
  <si>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</si>
  <si>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</si>
  <si>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</si>
  <si>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雪妃真矢</t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</si>
  <si>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</si>
  <si>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</si>
  <si>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</si>
  <si>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</si>
  <si>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</si>
  <si>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</si>
  <si>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</si>
  <si>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</si>
  <si>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</si>
  <si>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</si>
  <si>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鈴木ユラ(アルマリブレ)</t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</si>
  <si>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</si>
  <si>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</si>
  <si>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</si>
  <si>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</si>
  <si>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</si>
  <si>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</si>
  <si>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</si>
  <si>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</si>
  <si>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</si>
  <si>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</si>
  <si>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</si>
  <si>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</si>
  <si>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</si>
  <si>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</si>
  <si>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</si>
  <si>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宮崎有妃(2026.1.1引退予定)</t>
    <rPh sb="0" eb="4">
      <t>ミヤザキユキ</t>
    </rPh>
    <rPh sb="13" eb="17">
      <t>インタイヨテイ</t>
    </rPh>
    <phoneticPr fontId="1"/>
  </si>
  <si>
    <t>SAKI(COLORS)
世羅りさ(PR)(2026.1.12引退予定)</t>
    <rPh sb="13" eb="15">
      <t>セラ</t>
    </rPh>
    <rPh sb="31" eb="33">
      <t>インタイ</t>
    </rPh>
    <rPh sb="33" eb="35">
      <t>ヨテイ</t>
    </rPh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</si>
  <si>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</si>
  <si>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真白優希
柳川澄樺
神姫楽ミサ</t>
    <rPh sb="0" eb="4">
      <t>マシロ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</si>
  <si>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</si>
  <si>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</si>
  <si>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</si>
  <si>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BBJ</t>
    <phoneticPr fontId="1"/>
  </si>
  <si>
    <t>小久保アリサ</t>
    <phoneticPr fontId="1"/>
  </si>
  <si>
    <t>大竹仁美</t>
    <phoneticPr fontId="1"/>
  </si>
  <si>
    <t>山中絵里奈</t>
  </si>
  <si>
    <t>竹林早苗</t>
    <phoneticPr fontId="1"/>
  </si>
  <si>
    <t>櫻井裕子(COLORS)
網倉理奈(COLORS)
KONOHA(銀河)(2026.5引退予定)
花園桃花(アップタウン)
杏ちゃむ(信州)</t>
    <rPh sb="0" eb="4">
      <t>サクライユウコ</t>
    </rPh>
    <rPh sb="13" eb="17">
      <t>アミクラリナ</t>
    </rPh>
    <rPh sb="33" eb="35">
      <t>ギンガ</t>
    </rPh>
    <rPh sb="43" eb="45">
      <t>インタイ</t>
    </rPh>
    <rPh sb="45" eb="47">
      <t>ヨテイ</t>
    </rPh>
    <rPh sb="49" eb="53">
      <t>ハナゾノモモカ</t>
    </rPh>
    <rPh sb="67" eb="69">
      <t>シンシュウ</t>
    </rPh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</si>
  <si>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</si>
  <si>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</si>
  <si>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</si>
  <si>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</si>
  <si>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</si>
  <si>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</si>
  <si>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浦幌ちほ(北都)</t>
    <phoneticPr fontId="1"/>
  </si>
  <si>
    <t>YAKO(アルマリブレ)
神田愛実(北都)</t>
    <phoneticPr fontId="1"/>
  </si>
  <si>
    <t>松下楓歩(IR)
キク(HCC)(2026/3引退予定)</t>
    <rPh sb="0" eb="4">
      <t>マツシタカホ</t>
    </rPh>
    <rPh sb="23" eb="25">
      <t>インタイ</t>
    </rPh>
    <rPh sb="25" eb="27">
      <t>ヨテイ</t>
    </rPh>
    <phoneticPr fontId="1"/>
  </si>
  <si>
    <t>山下りな
日向小陽(休)
夏 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9" eb="21">
      <t>フジタ</t>
    </rPh>
    <rPh sb="25" eb="29">
      <t>コバヤシカホ</t>
    </rPh>
    <rPh sb="30" eb="32">
      <t>キュウリ</t>
    </rPh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</si>
  <si>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</si>
  <si>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</si>
  <si>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</si>
  <si>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</si>
  <si>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</si>
  <si>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</si>
  <si>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</si>
  <si>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</si>
  <si>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</si>
  <si>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志真うた(伊藤道場)
CoCo(MyWay)</t>
    <rPh sb="0" eb="2">
      <t>シマ</t>
    </rPh>
    <rPh sb="5" eb="7">
      <t>イトウ</t>
    </rPh>
    <rPh sb="7" eb="9">
      <t>ドウジョウ</t>
    </rPh>
    <phoneticPr fontId="1"/>
  </si>
  <si>
    <t>ちゃんよた</t>
    <phoneticPr fontId="1"/>
  </si>
  <si>
    <t>エチカミヤビ</t>
    <phoneticPr fontId="1"/>
  </si>
  <si>
    <t>リアラ</t>
    <phoneticPr fontId="1"/>
  </si>
  <si>
    <t>青葉ちい
山下真菜
研菜々美
天翔ゆい(2025.12.29卒業予定)</t>
    <rPh sb="0" eb="2">
      <t>アオバ</t>
    </rPh>
    <rPh sb="5" eb="7">
      <t>ヤマシタ</t>
    </rPh>
    <rPh sb="7" eb="9">
      <t>マナ</t>
    </rPh>
    <rPh sb="10" eb="14">
      <t>トギナナミ</t>
    </rPh>
    <rPh sb="15" eb="17">
      <t>テンショウ</t>
    </rPh>
    <rPh sb="30" eb="32">
      <t>ソツギョウ</t>
    </rPh>
    <rPh sb="32" eb="34">
      <t>ヨテイ</t>
    </rPh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</si>
  <si>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</si>
  <si>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</si>
  <si>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バニー及川
マドレーヌ
ウナギ・サヤカ
松澤さん</t>
    <rPh sb="3" eb="5">
      <t>オイカワ</t>
    </rPh>
    <rPh sb="20" eb="22">
      <t>マツザワ</t>
    </rPh>
    <phoneticPr fontId="1"/>
  </si>
  <si>
    <t>MIRAI(みちのく)</t>
    <phoneticPr fontId="1"/>
  </si>
  <si>
    <t>天咲光由
ボジラ
フワちゃん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</si>
  <si>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</si>
  <si>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</si>
  <si>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</si>
  <si>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</si>
  <si>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</si>
  <si>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Venus(1.4旗揚げ)</t>
    <rPh sb="9" eb="11">
      <t>ハタア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</si>
  <si>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</si>
  <si>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</si>
  <si>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</si>
  <si>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苺畑ひより(666)
横井真菜(REINA)
タギリヒメ真夢(九州女子プロレス)
彩月悠叶(2AW)</t>
    <rPh sb="31" eb="33">
      <t>キュウシュウ</t>
    </rPh>
    <rPh sb="33" eb="35">
      <t>ジョシ</t>
    </rPh>
    <phoneticPr fontId="1"/>
  </si>
  <si>
    <t>風南ユキ
望天セレネ</t>
    <phoneticPr fontId="1"/>
  </si>
  <si>
    <t>ホルスタイン・エンジュ
ラブリカ・ヒナーノ
枢夜 佐季</t>
    <rPh sb="22" eb="23">
      <t>クルル</t>
    </rPh>
    <rPh sb="23" eb="24">
      <t>ヨ</t>
    </rPh>
    <rPh sb="25" eb="27">
      <t>サキ</t>
    </rPh>
    <phoneticPr fontId="1"/>
  </si>
  <si>
    <t>&lt;Y&gt;</t>
    <phoneticPr fontId="1"/>
  </si>
  <si>
    <t>わかな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</si>
  <si>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</si>
  <si>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</si>
  <si>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</si>
  <si>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スターライト・キッド(休)
なつぽい
安納サオリ
小波</t>
    <rPh sb="19" eb="21">
      <t>アノウ</t>
    </rPh>
    <rPh sb="25" eb="27">
      <t>コナミ</t>
    </rPh>
    <phoneticPr fontId="1"/>
  </si>
  <si>
    <t>渡辺桃(休)</t>
    <phoneticPr fontId="1"/>
  </si>
  <si>
    <t>&lt;根本楓花&gt;(プロテスト合格)</t>
    <rPh sb="12" eb="14">
      <t>ゴウカク</t>
    </rPh>
    <phoneticPr fontId="1"/>
  </si>
  <si>
    <t>&lt;希咲みなみ&gt;(2026.1.4デビュー予定)
&lt;ひな&gt;(2026.1.4デビュー予定)
&lt;髙橋光咲&gt;(2026.1.4デビュー予定)
&lt;伊田惟吹&gt;(2026.1.4デビュー予定)
&lt;当麻煌&gt;(2026.1.4デビュー予定)
&lt;直江ミう&gt;(2026.1.4デビュー予定)</t>
    <rPh sb="1" eb="3">
      <t>キサキ</t>
    </rPh>
    <rPh sb="20" eb="22">
      <t>ヨテイ</t>
    </rPh>
    <rPh sb="46" eb="48">
      <t>タカハシ</t>
    </rPh>
    <rPh sb="48" eb="50">
      <t>ミサキ</t>
    </rPh>
    <rPh sb="69" eb="71">
      <t>イダ</t>
    </rPh>
    <rPh sb="71" eb="72">
      <t>ノブ</t>
    </rPh>
    <rPh sb="72" eb="73">
      <t>スイ</t>
    </rPh>
    <rPh sb="92" eb="94">
      <t>トウマ</t>
    </rPh>
    <rPh sb="114" eb="116">
      <t>ナオエ</t>
    </rPh>
    <phoneticPr fontId="1"/>
  </si>
  <si>
    <t>シン・広田・葛飾さくら</t>
    <phoneticPr fontId="1"/>
  </si>
  <si>
    <t>稲葉ともか
rhythm(12.31退団予定)</t>
    <rPh sb="0" eb="2">
      <t>イナバ</t>
    </rPh>
    <rPh sb="18" eb="20">
      <t>タイダン</t>
    </rPh>
    <rPh sb="20" eb="22">
      <t>ヨテイ</t>
    </rPh>
    <phoneticPr fontId="1"/>
  </si>
  <si>
    <t>ミス・モンゴル(世界)</t>
    <rPh sb="8" eb="10">
      <t>セカイ</t>
    </rPh>
    <phoneticPr fontId="1"/>
  </si>
  <si>
    <t>藤本つかさ(IR)(休)
星ハム子(IR)(休)</t>
    <rPh sb="0" eb="2">
      <t>フジモト</t>
    </rPh>
    <rPh sb="10" eb="11">
      <t>キュウ</t>
    </rPh>
    <rPh sb="13" eb="14">
      <t>ホシ</t>
    </rPh>
    <rPh sb="16" eb="17">
      <t>コ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</si>
  <si>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</si>
  <si>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</si>
  <si>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</si>
  <si>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</si>
  <si>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</si>
  <si>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</si>
  <si>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&lt;るい&gt;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</si>
  <si>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</si>
  <si>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松橋ななを</t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</si>
  <si>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</si>
  <si>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羽南(休)</t>
    <phoneticPr fontId="1"/>
  </si>
  <si>
    <t>虎牙のん</t>
    <phoneticPr fontId="1"/>
  </si>
  <si>
    <t>&lt;堀このみ&gt;(ZeroOne)
&lt;七世真理子&gt;(ZeroOne)
&lt;星野 さやか&gt;(九州女子プロレス)</t>
    <rPh sb="42" eb="46">
      <t>キュウシュウジョシ</t>
    </rPh>
    <phoneticPr fontId="1"/>
  </si>
  <si>
    <t>梨央
弥福かな
ゴんべ
&lt;摩利乃&gt;(12.29デビュー予定)</t>
    <rPh sb="0" eb="2">
      <t>リオ</t>
    </rPh>
    <rPh sb="27" eb="29">
      <t>ヨテイ</t>
    </rPh>
    <phoneticPr fontId="1"/>
  </si>
  <si>
    <t>伊藤麻希
小橋マリカ
凛</t>
    <phoneticPr fontId="1"/>
  </si>
  <si>
    <t>&lt;神嵜志音&gt;仮(2026.1.4デビュー予定)
&lt;アンリ&gt;仮
&lt;ユウカ&gt;仮</t>
    <phoneticPr fontId="1"/>
  </si>
  <si>
    <t>ゆづき(HCC)(休)
chou・chou(HCC)</t>
    <rPh sb="9" eb="10">
      <t>キュウ</t>
    </rPh>
    <phoneticPr fontId="1"/>
  </si>
  <si>
    <t xml:space="preserve">
&lt;小谷さつき&gt;
&lt;松﨑紗弥&gt;
&lt;山根百合&gt;
&lt;桃羽もえは&gt;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</si>
</sst>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7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Z54" totalsRowShown="0" headerRowDxfId="26" dataDxfId="25">
  <autoFilter ref="B4:Z54" xr:uid="{4A34D807-EC26-4518-9852-7FFB26CEC57B}"/>
  <tableColumns count="25">
    <tableColumn id="1" xr3:uid="{C5BCADDE-F600-4480-BD2B-E93168A1BF7F}" name="デビュー年" dataDxfId="24"/>
    <tableColumn id="2" xr3:uid="{7319872F-B1DE-47E8-ADFA-F5962E445AE2}" name="Stardom" dataDxfId="23"/>
    <tableColumn id="18" xr3:uid="{6DD05DFF-D195-4CF5-BFC5-531553A9ADC5}" name="AWG" dataDxfId="22"/>
    <tableColumn id="22" xr3:uid="{8EA6491D-1F78-431F-AD9B-C8AB4F6616E9}" name="TJPW" dataDxfId="21"/>
    <tableColumn id="3" xr3:uid="{CA5FBB65-FE37-40A8-B1DD-0182D7DD64C3}" name="マリゴ" dataDxfId="20"/>
    <tableColumn id="27" xr3:uid="{50745B86-8D07-4F72-B93E-5C2E105BB03C}" name="IR/ホットシュシュ" dataDxfId="19"/>
    <tableColumn id="17" xr3:uid="{C0123278-DCF4-45DB-8696-FC0805957C5C}" name="Diana" dataDxfId="18"/>
    <tableColumn id="30" xr3:uid="{BB23C0DC-5AEB-431A-A828-4D1BDF4F315F}" name="JTO" dataDxfId="17"/>
    <tableColumn id="29" xr3:uid="{ADFF1D58-E918-4FF6-B352-AA98020CFD16}" name="チョコプロ" dataDxfId="16"/>
    <tableColumn id="8" xr3:uid="{0D2ABC96-F0CF-44E9-912A-CA35E8452616}" name="Venus(1.4旗揚げ)" dataDxfId="15"/>
    <tableColumn id="23" xr3:uid="{9647ED0D-42FB-42C1-BFB2-8B8D56D414C4}" name="SENDAI" dataDxfId="14"/>
    <tableColumn id="32" xr3:uid="{67EA2433-E1D1-4094-BFB4-0EDB7438926B}" name="Pure-J" dataDxfId="13"/>
    <tableColumn id="21" xr3:uid="{ACF43FBE-31D7-4ED6-A997-E4AF4BF0B9D4}" name="マーベラス" dataDxfId="12"/>
    <tableColumn id="34" xr3:uid="{C9FDFCD5-EB7A-4498-855C-DD4AF6E60734}" name="なにわ女子" dataDxfId="11"/>
    <tableColumn id="20" xr3:uid="{86389032-6123-44BF-98AB-D3CA13F2577A}" name="LLPW-X" dataDxfId="10"/>
    <tableColumn id="28" xr3:uid="{8FEFA60F-BAF5-466B-B569-8C96F8534AF7}" name="シード" dataDxfId="9"/>
    <tableColumn id="26" xr3:uid="{73103D07-0C18-49E4-833A-41ADC2D3DE61}" name="Wave" dataDxfId="8"/>
    <tableColumn id="9" xr3:uid="{11B98A53-6EA8-44AD-B33B-82B313F30661}" name="ガンプロ" dataDxfId="7"/>
    <tableColumn id="4" xr3:uid="{DDF38F40-8A77-4C8C-A9E5-47A29D5A7C86}" name="柳ヶ瀬" dataDxfId="6"/>
    <tableColumn id="5" xr3:uid="{3CAB629B-BA9F-4560-89E7-0980EE2B0905}" name="エボリューション" dataDxfId="5"/>
    <tableColumn id="6" xr3:uid="{5C631C06-2946-4CE3-901A-57A0BABE156F}" name="BBJ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4"/>
  <sheetViews>
    <sheetView tabSelected="1" zoomScale="55" zoomScaleNormal="55" workbookViewId="0">
      <pane xSplit="2" ySplit="4" topLeftCell="C53" activePane="bottomRight" state="frozen"/>
      <selection pane="topRight" activeCell="C1" sqref="C1"/>
      <selection pane="bottomLeft" activeCell="A5" sqref="A5"/>
      <selection pane="bottomRight" activeCell="D55" sqref="D55"/>
    </sheetView>
  </sheetViews>
  <sheetFormatPr defaultColWidth="27.33203125" defaultRowHeight="18" x14ac:dyDescent="0.8"/>
  <cols>
    <col min="1" max="1" width="1.88671875" style="1" bestFit="1" customWidth="1"/>
    <col min="2" max="2" width="13.6640625" style="1" bestFit="1" customWidth="1"/>
    <col min="3" max="3" width="19.1640625" style="1" bestFit="1" customWidth="1"/>
    <col min="4" max="4" width="27" style="1" bestFit="1" customWidth="1"/>
    <col min="5" max="5" width="13.6640625" style="1" bestFit="1" customWidth="1"/>
    <col min="7" max="7" width="20.27734375" bestFit="1" customWidth="1"/>
    <col min="8" max="8" width="27" style="1" bestFit="1" customWidth="1"/>
    <col min="9" max="9" width="18.94140625" style="1" bestFit="1" customWidth="1"/>
    <col min="10" max="10" width="21.0546875" style="1" bestFit="1" customWidth="1"/>
    <col min="11" max="11" width="32.5546875" style="1" bestFit="1" customWidth="1"/>
    <col min="12" max="12" width="17.44140625" bestFit="1" customWidth="1"/>
    <col min="13" max="13" width="28.71875" bestFit="1" customWidth="1"/>
    <col min="14" max="14" width="13.5" bestFit="1" customWidth="1"/>
    <col min="15" max="15" width="27" bestFit="1" customWidth="1"/>
    <col min="16" max="16" width="26.33203125" style="1" bestFit="1" customWidth="1"/>
    <col min="17" max="17" width="12.0546875" bestFit="1" customWidth="1"/>
    <col min="19" max="19" width="10.27734375" style="1" bestFit="1" customWidth="1"/>
    <col min="20" max="20" width="24.609375" style="1" bestFit="1" customWidth="1"/>
    <col min="21" max="21" width="12" style="1" bestFit="1" customWidth="1"/>
    <col min="22" max="22" width="10.27734375" style="1" bestFit="1" customWidth="1"/>
    <col min="23" max="23" width="19.1640625" bestFit="1" customWidth="1"/>
    <col min="24" max="24" width="11.6640625" bestFit="1" customWidth="1"/>
    <col min="25" max="25" width="26.27734375" bestFit="1" customWidth="1"/>
    <col min="26" max="26" width="14.77734375" bestFit="1" customWidth="1"/>
    <col min="27" max="27" width="30.0546875" style="1" bestFit="1" customWidth="1"/>
    <col min="28" max="28" width="17" style="1" bestFit="1" customWidth="1"/>
    <col min="29" max="29" width="27.33203125" style="1"/>
    <col min="31" max="16384" width="27.33203125" style="1"/>
  </cols>
  <sheetData>
    <row r="1" spans="1:30" ht="16" x14ac:dyDescent="0.8">
      <c r="A1" s="1" t="s">
        <v>113</v>
      </c>
      <c r="F1" s="1"/>
      <c r="G1" s="1"/>
      <c r="L1" s="1"/>
      <c r="M1" s="1"/>
      <c r="N1" s="1"/>
      <c r="O1" s="1"/>
      <c r="Q1" s="1"/>
      <c r="R1" s="1"/>
      <c r="W1" s="1"/>
      <c r="X1" s="1"/>
      <c r="Y1" s="1"/>
      <c r="Z1" s="1"/>
      <c r="AD1" s="1"/>
    </row>
    <row r="2" spans="1:30" ht="16" x14ac:dyDescent="0.8">
      <c r="B2" s="1">
        <f>SUM(C2:RZ2)</f>
        <v>366</v>
      </c>
      <c r="C2" s="1" cm="1">
        <f t="array" ref="C2">SUMPRODUCT(
  IF(LEN(C5:C999)=0, 0,
     LEN(C5:C999) - LEN(SUBSTITUTE(C5:C999, CHAR(10), "")) + 1
  )
)</f>
        <v>43</v>
      </c>
      <c r="D2" s="1" cm="1">
        <f t="array" ref="D2">SUMPRODUCT(
  IF(LEN(D5:D999)=0, 0,
     LEN(D5:D999) - LEN(SUBSTITUTE(D5:D999, CHAR(10), "")) + 1
  )
)</f>
        <v>33</v>
      </c>
      <c r="E2" s="1" cm="1">
        <f t="array" ref="E2">SUMPRODUCT(
  IF(LEN(E5:E999)=0, 0,
     LEN(E5:E999) - LEN(SUBSTITUTE(E5:E999, CHAR(10), "")) + 1
  )
)</f>
        <v>29</v>
      </c>
      <c r="F2" s="1" cm="1">
        <f t="array" ref="F2">SUMPRODUCT(
  IF(LEN(F5:F999)=0, 0,
     LEN(F5:F999) - LEN(SUBSTITUTE(F5:F999, CHAR(10), "")) + 1
  )
)</f>
        <v>22</v>
      </c>
      <c r="G2" s="1" cm="1">
        <f t="array" ref="G2">SUMPRODUCT(
  IF(LEN(G5:G999)=0, 0,
     LEN(G5:G999) - LEN(SUBSTITUTE(G5:G999, CHAR(10), "")) + 1
  )
)</f>
        <v>19</v>
      </c>
      <c r="H2" s="1" cm="1">
        <f t="array" ref="H2">SUMPRODUCT(
  IF(LEN(H5:H999)=0, 0,
     LEN(H5:H999) - LEN(SUBSTITUTE(H5:H999, CHAR(10), "")) + 1
  )
)</f>
        <v>13</v>
      </c>
      <c r="I2" s="1" cm="1">
        <f t="array" ref="I2">SUMPRODUCT(
  IF(LEN(I5:I999)=0, 0,
     LEN(I5:I999) - LEN(SUBSTITUTE(I5:I999, CHAR(10), "")) + 1
  )
)</f>
        <v>12</v>
      </c>
      <c r="J2" s="1" cm="1">
        <f t="array" ref="J2">SUMPRODUCT(
  IF(LEN(J5:J999)=0, 0,
     LEN(J5:J999) - LEN(SUBSTITUTE(J5:J999, CHAR(10), "")) + 1
  )
)</f>
        <v>11</v>
      </c>
      <c r="K2" s="1" cm="1">
        <f t="array" ref="K2">SUMPRODUCT(
  IF(LEN(K5:K999)=0, 0,
     LEN(K5:K999) - LEN(SUBSTITUTE(K5:K999, CHAR(10), "")) + 1
  )
)</f>
        <v>10</v>
      </c>
      <c r="L2" s="1" cm="1">
        <f t="array" ref="L2">SUMPRODUCT(
  IF(LEN(L5:L999)=0, 0,
     LEN(L5:L999) - LEN(SUBSTITUTE(L5:L999, CHAR(10), "")) + 1
  )
)</f>
        <v>9</v>
      </c>
      <c r="M2" s="1" cm="1">
        <f t="array" ref="M2">SUMPRODUCT(
  IF(LEN(M5:M999)=0, 0,
     LEN(M5:M999) - LEN(SUBSTITUTE(M5:M999, CHAR(10), "")) + 1
  )
)</f>
        <v>9</v>
      </c>
      <c r="N2" s="1" cm="1">
        <f t="array" ref="N2">SUMPRODUCT(
  IF(LEN(N5:N999)=0, 0,
     LEN(N5:N999) - LEN(SUBSTITUTE(N5:N999, CHAR(10), "")) + 1
  )
)</f>
        <v>9</v>
      </c>
      <c r="O2" s="1" cm="1">
        <f t="array" ref="O2">SUMPRODUCT(
  IF(LEN(O5:O999)=0, 0,
     LEN(O5:O999) - LEN(SUBSTITUTE(O5:O999, CHAR(10), "")) + 1
  )
)</f>
        <v>9</v>
      </c>
      <c r="P2" s="1" cm="1">
        <f t="array" ref="P2">SUMPRODUCT(
  IF(LEN(P5:P999)=0, 0,
     LEN(P5:P999) - LEN(SUBSTITUTE(P5:P999, CHAR(10), "")) + 1
  )
)</f>
        <v>6</v>
      </c>
      <c r="Q2" s="1" cm="1">
        <f t="array" ref="Q2">SUMPRODUCT(
  IF(LEN(Q5:Q999)=0, 0,
     LEN(Q5:Q999) - LEN(SUBSTITUTE(Q5:Q999, CHAR(10), "")) + 1
  )
)</f>
        <v>6</v>
      </c>
      <c r="R2" s="1" cm="1">
        <f t="array" ref="R2">SUMPRODUCT(
  IF(LEN(R5:R999)=0, 0,
     LEN(R5:R999) - LEN(SUBSTITUTE(R5:R999, CHAR(10), "")) + 1
  )
)</f>
        <v>5</v>
      </c>
      <c r="S2" s="1" cm="1">
        <f t="array" ref="S2">SUMPRODUCT(
  IF(LEN(S5:S999)=0, 0,
     LEN(S5:S999) - LEN(SUBSTITUTE(S5:S999, CHAR(10), "")) + 1
  )
)</f>
        <v>4</v>
      </c>
      <c r="T2" s="1" cm="1">
        <f t="array" ref="T2">SUMPRODUCT(
  IF(LEN(T5:T999)=0, 0,
     LEN(T5:T999) - LEN(SUBSTITUTE(T5:T999, CHAR(10), "")) + 1
  )
)</f>
        <v>4</v>
      </c>
      <c r="U2" s="1" cm="1">
        <f t="array" ref="U2">SUMPRODUCT(
  IF(LEN(U5:U999)=0, 0,
     LEN(U5:U999) - LEN(SUBSTITUTE(U5:U999, CHAR(10), "")) + 1
  )
)</f>
        <v>4</v>
      </c>
      <c r="V2" s="1" cm="1">
        <f t="array" ref="V2">SUMPRODUCT(
  IF(LEN(V5:V999)=0, 0,
     LEN(V5:V999) - LEN(SUBSTITUTE(V5:V999, CHAR(10), "")) + 1
  )
)</f>
        <v>4</v>
      </c>
      <c r="W2" s="1" cm="1">
        <f t="array" ref="W2">SUMPRODUCT(
  IF(LEN(W5:W999)=0, 0,
     LEN(W5:W999) - LEN(SUBSTITUTE(W5:W999, CHAR(10), "")) + 1
  )
)</f>
        <v>4</v>
      </c>
      <c r="X2" s="1" cm="1">
        <f t="array" ref="X2">SUMPRODUCT(
  IF(LEN(X5:X999)=0, 0,
     LEN(X5:X999) - LEN(SUBSTITUTE(X5:X999, CHAR(10), "")) + 1
  )
)</f>
        <v>8</v>
      </c>
      <c r="Y2" s="1" cm="1">
        <f t="array" ref="Y2">SUMPRODUCT(
  IF(LEN(Y5:Y999)=0, 0,
     LEN(Y5:Y999) - LEN(SUBSTITUTE(Y5:Y999, CHAR(10), "")) + 1
  )
)</f>
        <v>44</v>
      </c>
      <c r="Z2" s="1" cm="1">
        <f t="array" ref="Z2">SUMPRODUCT(
  IF(LEN(Z5:Z999)=0, 0,
     LEN(Z5:Z999) - LEN(SUBSTITUTE(Z5:Z999, CHAR(10), "")) + 1
  )
)</f>
        <v>49</v>
      </c>
      <c r="AD2" s="1"/>
    </row>
    <row r="3" spans="1:30" ht="16" x14ac:dyDescent="0.8">
      <c r="F3" s="1"/>
      <c r="G3" s="1"/>
      <c r="L3" s="1"/>
      <c r="M3" s="1"/>
      <c r="N3" s="1"/>
      <c r="O3" s="1"/>
      <c r="Q3" s="1"/>
      <c r="R3" s="1"/>
      <c r="W3" s="1"/>
      <c r="X3" s="1"/>
      <c r="Y3" s="1"/>
      <c r="Z3" s="1"/>
      <c r="AD3" s="1"/>
    </row>
    <row r="4" spans="1:30" ht="16.7" x14ac:dyDescent="0.8">
      <c r="B4" s="2" t="s">
        <v>6</v>
      </c>
      <c r="C4" s="2" t="s">
        <v>0</v>
      </c>
      <c r="D4" s="2" t="s">
        <v>5</v>
      </c>
      <c r="E4" s="2" t="s">
        <v>38</v>
      </c>
      <c r="F4" s="2" t="s">
        <v>3</v>
      </c>
      <c r="G4" s="2" t="s">
        <v>86</v>
      </c>
      <c r="H4" s="2" t="s">
        <v>18</v>
      </c>
      <c r="I4" s="2" t="s">
        <v>50</v>
      </c>
      <c r="J4" s="2" t="s">
        <v>60</v>
      </c>
      <c r="K4" s="2" t="s">
        <v>193</v>
      </c>
      <c r="L4" s="2" t="s">
        <v>54</v>
      </c>
      <c r="M4" s="2" t="s">
        <v>96</v>
      </c>
      <c r="N4" s="2" t="s">
        <v>8</v>
      </c>
      <c r="O4" s="2" t="s">
        <v>214</v>
      </c>
      <c r="P4" s="2" t="s">
        <v>20</v>
      </c>
      <c r="Q4" s="2" t="s">
        <v>4</v>
      </c>
      <c r="R4" s="2" t="s">
        <v>28</v>
      </c>
      <c r="S4" s="2" t="s">
        <v>7</v>
      </c>
      <c r="T4" s="2" t="s">
        <v>133</v>
      </c>
      <c r="U4" s="2" t="s">
        <v>142</v>
      </c>
      <c r="V4" s="2" t="s">
        <v>153</v>
      </c>
      <c r="W4" s="2" t="s">
        <v>175</v>
      </c>
      <c r="X4" s="2" t="s">
        <v>103</v>
      </c>
      <c r="Y4" s="2" t="s">
        <v>37</v>
      </c>
      <c r="Z4" s="2" t="s">
        <v>10</v>
      </c>
      <c r="AD4" s="1"/>
    </row>
    <row r="5" spans="1:30" ht="16.7" x14ac:dyDescent="0.8">
      <c r="B5" s="3">
        <v>1977</v>
      </c>
      <c r="C5" s="3"/>
      <c r="D5" s="3"/>
      <c r="E5" s="3"/>
      <c r="F5" s="3"/>
      <c r="G5" s="3"/>
      <c r="H5" s="3" t="s">
        <v>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D5" s="1"/>
    </row>
    <row r="6" spans="1:30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D6" s="1"/>
    </row>
    <row r="7" spans="1:30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D7" s="1"/>
    </row>
    <row r="8" spans="1:30" ht="16.7" x14ac:dyDescent="0.8">
      <c r="B8" s="3">
        <v>1980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 t="s">
        <v>33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 t="s">
        <v>32</v>
      </c>
      <c r="AD8" s="1"/>
    </row>
    <row r="9" spans="1:30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D9" s="1"/>
    </row>
    <row r="10" spans="1:30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D10" s="1"/>
    </row>
    <row r="11" spans="1:30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D11" s="1"/>
    </row>
    <row r="12" spans="1:30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D12" s="1"/>
    </row>
    <row r="13" spans="1:30" ht="16.7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 t="s">
        <v>132</v>
      </c>
      <c r="Z13" s="3"/>
      <c r="AD13" s="1"/>
    </row>
    <row r="14" spans="1:30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21</v>
      </c>
      <c r="Q14" s="3"/>
      <c r="R14" s="3"/>
      <c r="S14" s="3"/>
      <c r="T14" s="3"/>
      <c r="U14" s="3"/>
      <c r="V14" s="3"/>
      <c r="W14" s="3"/>
      <c r="X14" s="3"/>
      <c r="Y14" s="3" t="s">
        <v>66</v>
      </c>
      <c r="Z14" s="3" t="s">
        <v>16</v>
      </c>
      <c r="AD14" s="1"/>
    </row>
    <row r="15" spans="1:30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 t="s">
        <v>115</v>
      </c>
      <c r="AD15" s="1"/>
    </row>
    <row r="16" spans="1:30" ht="16.7" x14ac:dyDescent="0.8">
      <c r="B16" s="3">
        <v>1988</v>
      </c>
      <c r="C16" s="3"/>
      <c r="D16" s="3"/>
      <c r="E16" s="3"/>
      <c r="F16" s="3"/>
      <c r="G16" s="3"/>
      <c r="H16" s="3" t="s">
        <v>17</v>
      </c>
      <c r="I16" s="3"/>
      <c r="J16" s="3"/>
      <c r="K16" s="3"/>
      <c r="L16" s="3"/>
      <c r="M16" s="3"/>
      <c r="N16" s="3"/>
      <c r="O16" s="3"/>
      <c r="P16" s="3" t="s">
        <v>19</v>
      </c>
      <c r="Q16" s="3"/>
      <c r="R16" s="3"/>
      <c r="S16" s="3"/>
      <c r="T16" s="3"/>
      <c r="U16" s="3"/>
      <c r="V16" s="3"/>
      <c r="W16" s="3"/>
      <c r="X16" s="3"/>
      <c r="Y16" s="3"/>
      <c r="Z16" s="3"/>
      <c r="AD16" s="1"/>
    </row>
    <row r="17" spans="2:30" ht="16.7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 t="s">
        <v>140</v>
      </c>
      <c r="Z17" s="3" t="s">
        <v>139</v>
      </c>
      <c r="AD17" s="1"/>
    </row>
    <row r="18" spans="2:30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D18" s="1"/>
    </row>
    <row r="19" spans="2:30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D19" s="1"/>
    </row>
    <row r="20" spans="2:30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D20" s="1"/>
    </row>
    <row r="21" spans="2:30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D21" s="1"/>
    </row>
    <row r="22" spans="2:30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D22" s="1"/>
    </row>
    <row r="23" spans="2:30" ht="33.35" x14ac:dyDescent="0.8">
      <c r="B23" s="3">
        <v>1995</v>
      </c>
      <c r="C23" s="3"/>
      <c r="D23" s="3"/>
      <c r="E23" s="3"/>
      <c r="F23" s="3"/>
      <c r="G23" s="3"/>
      <c r="H23" s="3"/>
      <c r="I23" s="3"/>
      <c r="J23" s="3" t="s">
        <v>61</v>
      </c>
      <c r="K23" s="3"/>
      <c r="L23" s="3"/>
      <c r="M23" s="3"/>
      <c r="N23" s="3"/>
      <c r="O23" s="3"/>
      <c r="P23" s="3"/>
      <c r="Q23" s="3"/>
      <c r="R23" s="3" t="s">
        <v>146</v>
      </c>
      <c r="S23" s="3"/>
      <c r="T23" s="3"/>
      <c r="U23" s="3"/>
      <c r="V23" s="3"/>
      <c r="W23" s="3"/>
      <c r="X23" s="3"/>
      <c r="Y23" s="3" t="s">
        <v>211</v>
      </c>
      <c r="Z23" s="3" t="s">
        <v>67</v>
      </c>
      <c r="AD23" s="1"/>
    </row>
    <row r="24" spans="2:30" ht="33.35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 t="s">
        <v>209</v>
      </c>
      <c r="AD24" s="1"/>
    </row>
    <row r="25" spans="2:30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97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 t="s">
        <v>90</v>
      </c>
      <c r="AD25" s="1"/>
    </row>
    <row r="26" spans="2:30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 t="s">
        <v>87</v>
      </c>
      <c r="Z26" s="3" t="s">
        <v>34</v>
      </c>
      <c r="AD26" s="1"/>
    </row>
    <row r="27" spans="2:30" ht="16.7" x14ac:dyDescent="0.8">
      <c r="B27" s="3">
        <v>1999</v>
      </c>
      <c r="C27" s="3" t="s">
        <v>48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 t="s">
        <v>88</v>
      </c>
      <c r="Z27" s="3"/>
      <c r="AD27" s="1"/>
    </row>
    <row r="28" spans="2:30" ht="33.35" x14ac:dyDescent="0.8">
      <c r="B28" s="3">
        <v>2000</v>
      </c>
      <c r="C28" s="3"/>
      <c r="D28" s="3" t="s">
        <v>35</v>
      </c>
      <c r="E28" s="3"/>
      <c r="F28" s="3"/>
      <c r="G28" s="3"/>
      <c r="H28" s="3"/>
      <c r="I28" s="3"/>
      <c r="J28" s="3"/>
      <c r="K28" s="3"/>
      <c r="L28" s="3"/>
      <c r="M28" s="3" t="s">
        <v>98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 t="s">
        <v>92</v>
      </c>
      <c r="AD28" s="1"/>
    </row>
    <row r="29" spans="2:30" ht="16.7" x14ac:dyDescent="0.8">
      <c r="B29" s="3">
        <v>2001</v>
      </c>
      <c r="C29" s="3"/>
      <c r="D29" s="3"/>
      <c r="E29" s="3"/>
      <c r="F29" s="3"/>
      <c r="G29" s="3"/>
      <c r="H29" s="3" t="s">
        <v>23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69</v>
      </c>
      <c r="S29" s="3"/>
      <c r="T29" s="3"/>
      <c r="U29" s="3"/>
      <c r="V29" s="3"/>
      <c r="W29" s="3"/>
      <c r="X29" s="3"/>
      <c r="Y29" s="3"/>
      <c r="Z29" s="3"/>
      <c r="AD29" s="1"/>
    </row>
    <row r="30" spans="2:30" ht="16.7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 t="s">
        <v>91</v>
      </c>
      <c r="Z30" s="3"/>
      <c r="AD30" s="1"/>
    </row>
    <row r="31" spans="2:30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D31" s="1"/>
    </row>
    <row r="32" spans="2:30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 t="s">
        <v>63</v>
      </c>
      <c r="Z32" s="3" t="s">
        <v>89</v>
      </c>
      <c r="AD32" s="1"/>
    </row>
    <row r="33" spans="2:30" ht="33.35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95</v>
      </c>
      <c r="T33" s="3"/>
      <c r="U33" s="3"/>
      <c r="V33" s="3"/>
      <c r="W33" s="3"/>
      <c r="X33" s="3"/>
      <c r="Y33" s="3" t="s">
        <v>160</v>
      </c>
      <c r="Z33" s="3"/>
      <c r="AD33" s="1"/>
    </row>
    <row r="34" spans="2:30" ht="66.7" x14ac:dyDescent="0.8">
      <c r="B34" s="3">
        <v>2006</v>
      </c>
      <c r="C34" s="3"/>
      <c r="D34" s="3"/>
      <c r="E34" s="3"/>
      <c r="F34" s="3"/>
      <c r="G34" s="3" t="s">
        <v>192</v>
      </c>
      <c r="H34" s="3"/>
      <c r="I34" s="3"/>
      <c r="J34" s="3"/>
      <c r="K34" s="3" t="s">
        <v>192</v>
      </c>
      <c r="L34" s="3" t="s">
        <v>55</v>
      </c>
      <c r="M34" s="3" t="s">
        <v>99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 t="s">
        <v>59</v>
      </c>
      <c r="Y34" s="3"/>
      <c r="Z34" s="3" t="s">
        <v>116</v>
      </c>
      <c r="AD34" s="1"/>
    </row>
    <row r="35" spans="2:30" ht="50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 t="s">
        <v>104</v>
      </c>
      <c r="Y35" s="3"/>
      <c r="Z35" s="3" t="s">
        <v>161</v>
      </c>
      <c r="AD35" s="1"/>
    </row>
    <row r="36" spans="2:30" ht="33.35" x14ac:dyDescent="0.8">
      <c r="B36" s="3">
        <v>2008</v>
      </c>
      <c r="C36" s="3" t="s">
        <v>194</v>
      </c>
      <c r="D36" s="3"/>
      <c r="E36" s="3"/>
      <c r="F36" s="3"/>
      <c r="G36" s="3" t="s">
        <v>212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 t="s">
        <v>58</v>
      </c>
      <c r="Y36" s="3"/>
      <c r="Z36" s="3" t="s">
        <v>68</v>
      </c>
      <c r="AD36" s="1"/>
    </row>
    <row r="37" spans="2:30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 t="s">
        <v>62</v>
      </c>
      <c r="Z37" s="3"/>
      <c r="AD37" s="1"/>
    </row>
    <row r="38" spans="2:30" ht="50" x14ac:dyDescent="0.8">
      <c r="B38" s="3">
        <v>2010</v>
      </c>
      <c r="C38" s="3"/>
      <c r="D38" s="3"/>
      <c r="E38" s="3"/>
      <c r="F38" s="3"/>
      <c r="G38" s="3"/>
      <c r="H38" s="3"/>
      <c r="I38" s="3"/>
      <c r="J38" s="3" t="s">
        <v>77</v>
      </c>
      <c r="K38" s="3"/>
      <c r="L38" s="3"/>
      <c r="M38" s="3"/>
      <c r="N38" s="3"/>
      <c r="O38" s="3"/>
      <c r="P38" s="3"/>
      <c r="Q38" s="3" t="s">
        <v>39</v>
      </c>
      <c r="R38" s="3"/>
      <c r="S38" s="3"/>
      <c r="T38" s="3"/>
      <c r="U38" s="3"/>
      <c r="V38" s="3"/>
      <c r="W38" s="3"/>
      <c r="X38" s="3"/>
      <c r="Y38" s="3" t="s">
        <v>93</v>
      </c>
      <c r="Z38" s="3"/>
      <c r="AD38" s="1"/>
    </row>
    <row r="39" spans="2:30" ht="33.35" x14ac:dyDescent="0.8">
      <c r="B39" s="3">
        <v>2011</v>
      </c>
      <c r="C39" s="3" t="s">
        <v>73</v>
      </c>
      <c r="D39" s="3"/>
      <c r="E39" s="3"/>
      <c r="F39" s="3" t="s">
        <v>127</v>
      </c>
      <c r="G39" s="3" t="s">
        <v>112</v>
      </c>
      <c r="H39" s="3"/>
      <c r="I39" s="3"/>
      <c r="J39" s="3"/>
      <c r="K39" s="3"/>
      <c r="L39" s="3" t="s">
        <v>114</v>
      </c>
      <c r="M39" s="3"/>
      <c r="N39" s="3"/>
      <c r="O39" s="3"/>
      <c r="P39" s="3"/>
      <c r="Q39" s="3"/>
      <c r="R39" s="3"/>
      <c r="S39" s="3" t="s">
        <v>40</v>
      </c>
      <c r="T39" s="3"/>
      <c r="U39" s="3"/>
      <c r="V39" s="3"/>
      <c r="W39" s="3"/>
      <c r="X39" s="3" t="s">
        <v>105</v>
      </c>
      <c r="Y39" s="3"/>
      <c r="Z39" s="3" t="s">
        <v>163</v>
      </c>
      <c r="AD39" s="1"/>
    </row>
    <row r="40" spans="2:30" ht="50" x14ac:dyDescent="0.8">
      <c r="B40" s="3">
        <v>2012</v>
      </c>
      <c r="C40" s="3" t="s">
        <v>151</v>
      </c>
      <c r="D40" s="3" t="s">
        <v>184</v>
      </c>
      <c r="E40" s="3" t="s">
        <v>43</v>
      </c>
      <c r="F40" s="3" t="s">
        <v>126</v>
      </c>
      <c r="G40" s="3"/>
      <c r="H40" s="3"/>
      <c r="I40" s="3"/>
      <c r="J40" s="3"/>
      <c r="K40" s="3"/>
      <c r="L40" s="3"/>
      <c r="M40" s="3" t="s">
        <v>100</v>
      </c>
      <c r="N40" s="3" t="s">
        <v>1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 t="s">
        <v>147</v>
      </c>
      <c r="Z40" s="3"/>
      <c r="AD40" s="1"/>
    </row>
    <row r="41" spans="2:30" ht="100" x14ac:dyDescent="0.8">
      <c r="B41" s="3">
        <v>2013</v>
      </c>
      <c r="C41" s="3" t="s">
        <v>72</v>
      </c>
      <c r="D41" s="3"/>
      <c r="E41" s="3" t="s">
        <v>169</v>
      </c>
      <c r="F41" s="3"/>
      <c r="G41" s="3" t="s">
        <v>213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/>
      <c r="W41" s="3"/>
      <c r="X41" s="3" t="s">
        <v>108</v>
      </c>
      <c r="Y41" s="3" t="s">
        <v>166</v>
      </c>
      <c r="Z41" s="3" t="s">
        <v>168</v>
      </c>
      <c r="AD41" s="1"/>
    </row>
    <row r="42" spans="2:30" ht="16.7" x14ac:dyDescent="0.8">
      <c r="B42" s="3">
        <v>2014</v>
      </c>
      <c r="C42" s="3" t="s">
        <v>206</v>
      </c>
      <c r="D42" s="3"/>
      <c r="E42" s="3" t="s">
        <v>44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 t="s">
        <v>150</v>
      </c>
      <c r="Z42" s="3" t="s">
        <v>119</v>
      </c>
      <c r="AD42" s="1"/>
    </row>
    <row r="43" spans="2:30" ht="83.35" x14ac:dyDescent="0.8">
      <c r="B43" s="3">
        <v>2015</v>
      </c>
      <c r="C43" s="3" t="s">
        <v>205</v>
      </c>
      <c r="D43" s="3"/>
      <c r="E43" s="3" t="s">
        <v>42</v>
      </c>
      <c r="F43" s="3"/>
      <c r="G43" s="3"/>
      <c r="H43" s="3"/>
      <c r="I43" s="3"/>
      <c r="J43" s="3"/>
      <c r="K43" s="3"/>
      <c r="L43" s="3" t="s">
        <v>56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 t="s">
        <v>106</v>
      </c>
      <c r="Y43" s="3"/>
      <c r="Z43" s="3" t="s">
        <v>173</v>
      </c>
      <c r="AD43" s="1"/>
    </row>
    <row r="44" spans="2:30" ht="50" x14ac:dyDescent="0.8">
      <c r="B44" s="3">
        <v>2016</v>
      </c>
      <c r="C44" s="3" t="s">
        <v>74</v>
      </c>
      <c r="D44" s="3" t="s">
        <v>26</v>
      </c>
      <c r="E44" s="3"/>
      <c r="F44" s="3"/>
      <c r="G44" s="3"/>
      <c r="H44" s="3"/>
      <c r="I44" s="3"/>
      <c r="J44" s="3"/>
      <c r="K44" s="3"/>
      <c r="L44" s="3"/>
      <c r="M44" s="3"/>
      <c r="N44" s="3" t="s">
        <v>29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 t="s">
        <v>131</v>
      </c>
      <c r="Z44" s="3" t="s">
        <v>227</v>
      </c>
      <c r="AD44" s="1"/>
    </row>
    <row r="45" spans="2:30" ht="33.35" x14ac:dyDescent="0.8">
      <c r="B45" s="3">
        <v>2017</v>
      </c>
      <c r="C45" s="3" t="s">
        <v>223</v>
      </c>
      <c r="D45" s="3"/>
      <c r="E45" s="3"/>
      <c r="F45" s="3" t="s">
        <v>12</v>
      </c>
      <c r="G45" s="3" t="s">
        <v>111</v>
      </c>
      <c r="H45" s="3" t="s">
        <v>138</v>
      </c>
      <c r="I45" s="3"/>
      <c r="J45" s="3"/>
      <c r="K45" s="3"/>
      <c r="L45" s="3" t="s">
        <v>129</v>
      </c>
      <c r="M45" s="3"/>
      <c r="N45" s="3"/>
      <c r="O45" s="3"/>
      <c r="P45" s="3" t="s">
        <v>22</v>
      </c>
      <c r="Q45" s="3"/>
      <c r="R45" s="3"/>
      <c r="S45" s="3"/>
      <c r="T45" s="3" t="s">
        <v>134</v>
      </c>
      <c r="U45" s="3"/>
      <c r="V45" s="3"/>
      <c r="W45" s="3"/>
      <c r="X45" s="3" t="s">
        <v>120</v>
      </c>
      <c r="Y45" s="3" t="s">
        <v>152</v>
      </c>
      <c r="Z45" s="3" t="s">
        <v>128</v>
      </c>
      <c r="AD45" s="1"/>
    </row>
    <row r="46" spans="2:30" ht="100" x14ac:dyDescent="0.8">
      <c r="B46" s="3">
        <v>2018</v>
      </c>
      <c r="C46" s="3" t="s">
        <v>222</v>
      </c>
      <c r="D46" s="3" t="s">
        <v>183</v>
      </c>
      <c r="E46" s="3" t="s">
        <v>170</v>
      </c>
      <c r="F46" s="3" t="s">
        <v>14</v>
      </c>
      <c r="G46" s="3"/>
      <c r="H46" s="3"/>
      <c r="I46" s="3"/>
      <c r="J46" s="3" t="s">
        <v>78</v>
      </c>
      <c r="K46" s="3"/>
      <c r="L46" s="3"/>
      <c r="M46" s="3" t="s">
        <v>101</v>
      </c>
      <c r="N46" s="3" t="s">
        <v>31</v>
      </c>
      <c r="O46" s="3"/>
      <c r="P46" s="3"/>
      <c r="Q46" s="3"/>
      <c r="R46" s="3" t="s">
        <v>70</v>
      </c>
      <c r="S46" s="3"/>
      <c r="T46" s="3" t="s">
        <v>135</v>
      </c>
      <c r="U46" s="3"/>
      <c r="V46" s="3" t="s">
        <v>157</v>
      </c>
      <c r="W46" s="3"/>
      <c r="X46" s="3" t="s">
        <v>107</v>
      </c>
      <c r="Y46" s="3" t="s">
        <v>158</v>
      </c>
      <c r="Z46" s="3" t="s">
        <v>159</v>
      </c>
      <c r="AD46" s="1"/>
    </row>
    <row r="47" spans="2:30" ht="66.7" x14ac:dyDescent="0.8">
      <c r="B47" s="3">
        <v>2019</v>
      </c>
      <c r="C47" s="3" t="s">
        <v>220</v>
      </c>
      <c r="D47" s="3"/>
      <c r="E47" s="3" t="s">
        <v>45</v>
      </c>
      <c r="F47" s="3"/>
      <c r="G47" s="3" t="s">
        <v>110</v>
      </c>
      <c r="H47" s="3" t="s">
        <v>25</v>
      </c>
      <c r="I47" s="3" t="s">
        <v>210</v>
      </c>
      <c r="J47" s="3" t="s">
        <v>79</v>
      </c>
      <c r="K47" s="3"/>
      <c r="L47" s="3" t="s">
        <v>57</v>
      </c>
      <c r="M47" s="3" t="s">
        <v>123</v>
      </c>
      <c r="N47" s="3"/>
      <c r="O47" s="3"/>
      <c r="P47" s="3"/>
      <c r="Q47" s="3"/>
      <c r="R47" s="3"/>
      <c r="S47" s="3"/>
      <c r="T47" s="3"/>
      <c r="U47" s="3"/>
      <c r="V47" s="3" t="s">
        <v>156</v>
      </c>
      <c r="W47" s="3"/>
      <c r="X47" s="3"/>
      <c r="Y47" s="3" t="s">
        <v>186</v>
      </c>
      <c r="Z47" s="3" t="s">
        <v>185</v>
      </c>
      <c r="AD47" s="1"/>
    </row>
    <row r="48" spans="2:30" ht="50" x14ac:dyDescent="0.8">
      <c r="B48" s="3">
        <v>2020</v>
      </c>
      <c r="C48" s="3" t="s">
        <v>49</v>
      </c>
      <c r="D48" s="3"/>
      <c r="E48" s="3"/>
      <c r="F48" s="3" t="s">
        <v>13</v>
      </c>
      <c r="G48" s="3"/>
      <c r="H48" s="3"/>
      <c r="I48" s="3"/>
      <c r="J48" s="3"/>
      <c r="K48" s="3"/>
      <c r="L48" s="3"/>
      <c r="M48" s="3" t="s">
        <v>102</v>
      </c>
      <c r="N48" s="3"/>
      <c r="O48" s="3"/>
      <c r="P48" s="3"/>
      <c r="Q48" s="3"/>
      <c r="R48" s="3"/>
      <c r="S48" s="3" t="s">
        <v>94</v>
      </c>
      <c r="T48" s="3"/>
      <c r="U48" s="3"/>
      <c r="V48" s="3"/>
      <c r="W48" s="3"/>
      <c r="X48" s="3"/>
      <c r="Y48" s="3" t="s">
        <v>130</v>
      </c>
      <c r="Z48" s="3" t="s">
        <v>149</v>
      </c>
      <c r="AD48" s="1"/>
    </row>
    <row r="49" spans="2:30" ht="66.7" x14ac:dyDescent="0.8">
      <c r="B49" s="3">
        <v>2021</v>
      </c>
      <c r="C49" s="3" t="s">
        <v>52</v>
      </c>
      <c r="D49" s="3" t="s">
        <v>53</v>
      </c>
      <c r="E49" s="3" t="s">
        <v>47</v>
      </c>
      <c r="F49" s="3" t="s">
        <v>11</v>
      </c>
      <c r="G49" s="3" t="s">
        <v>167</v>
      </c>
      <c r="H49" s="3"/>
      <c r="I49" s="3" t="s">
        <v>84</v>
      </c>
      <c r="J49" s="3"/>
      <c r="K49" s="3"/>
      <c r="L49" s="3"/>
      <c r="M49" s="3"/>
      <c r="N49" s="3" t="s">
        <v>30</v>
      </c>
      <c r="O49" s="3"/>
      <c r="P49" s="3"/>
      <c r="Q49" s="3" t="s">
        <v>65</v>
      </c>
      <c r="R49" s="3" t="s">
        <v>71</v>
      </c>
      <c r="S49" s="3"/>
      <c r="T49" s="3"/>
      <c r="U49" s="3"/>
      <c r="V49" s="3"/>
      <c r="W49" s="3" t="s">
        <v>179</v>
      </c>
      <c r="X49" s="3"/>
      <c r="Y49" s="3" t="s">
        <v>176</v>
      </c>
      <c r="Z49" s="3"/>
      <c r="AD49" s="1"/>
    </row>
    <row r="50" spans="2:30" ht="133.35" x14ac:dyDescent="0.8">
      <c r="B50" s="3">
        <v>2022</v>
      </c>
      <c r="C50" s="3" t="s">
        <v>187</v>
      </c>
      <c r="D50" s="3" t="s">
        <v>174</v>
      </c>
      <c r="E50" s="3" t="s">
        <v>41</v>
      </c>
      <c r="F50" s="3" t="s">
        <v>172</v>
      </c>
      <c r="G50" s="3" t="s">
        <v>190</v>
      </c>
      <c r="H50" s="3" t="s">
        <v>24</v>
      </c>
      <c r="I50" s="3" t="s">
        <v>83</v>
      </c>
      <c r="J50" s="3" t="s">
        <v>80</v>
      </c>
      <c r="K50" s="3" t="s">
        <v>191</v>
      </c>
      <c r="L50" s="3"/>
      <c r="M50" s="3"/>
      <c r="N50" s="3"/>
      <c r="O50" s="3" t="s">
        <v>217</v>
      </c>
      <c r="P50" s="3"/>
      <c r="Q50" s="3"/>
      <c r="R50" s="3"/>
      <c r="S50" s="3"/>
      <c r="T50" s="3"/>
      <c r="U50" s="3"/>
      <c r="V50" s="3"/>
      <c r="W50" s="3" t="s">
        <v>180</v>
      </c>
      <c r="X50" s="3"/>
      <c r="Y50" s="3" t="s">
        <v>177</v>
      </c>
      <c r="Z50" s="3" t="s">
        <v>216</v>
      </c>
      <c r="AD50" s="1"/>
    </row>
    <row r="51" spans="2:30" ht="100" x14ac:dyDescent="0.8">
      <c r="B51" s="3">
        <v>2023</v>
      </c>
      <c r="C51" s="3" t="s">
        <v>27</v>
      </c>
      <c r="D51" s="3" t="s">
        <v>182</v>
      </c>
      <c r="E51" s="3" t="s">
        <v>118</v>
      </c>
      <c r="F51" s="3" t="s">
        <v>15</v>
      </c>
      <c r="G51" s="3" t="s">
        <v>229</v>
      </c>
      <c r="H51" s="3" t="s">
        <v>124</v>
      </c>
      <c r="I51" s="3" t="s">
        <v>51</v>
      </c>
      <c r="J51" s="3" t="s">
        <v>81</v>
      </c>
      <c r="K51" s="3"/>
      <c r="L51" s="3" t="s">
        <v>171</v>
      </c>
      <c r="M51" s="3"/>
      <c r="N51" s="3"/>
      <c r="O51" s="3" t="s">
        <v>125</v>
      </c>
      <c r="P51" s="3" t="s">
        <v>141</v>
      </c>
      <c r="Q51" s="3"/>
      <c r="R51" s="3" t="s">
        <v>162</v>
      </c>
      <c r="S51" s="3"/>
      <c r="T51" s="3"/>
      <c r="U51" s="3" t="s">
        <v>144</v>
      </c>
      <c r="V51" s="3" t="s">
        <v>155</v>
      </c>
      <c r="W51" s="3" t="s">
        <v>181</v>
      </c>
      <c r="X51" s="3"/>
      <c r="Y51" s="3" t="s">
        <v>178</v>
      </c>
      <c r="Z51" s="3" t="s">
        <v>164</v>
      </c>
      <c r="AD51" s="1"/>
    </row>
    <row r="52" spans="2:30" ht="100" x14ac:dyDescent="0.8">
      <c r="B52" s="3">
        <v>2024</v>
      </c>
      <c r="C52" s="3" t="s">
        <v>76</v>
      </c>
      <c r="D52" s="3" t="s">
        <v>36</v>
      </c>
      <c r="E52" s="3" t="s">
        <v>46</v>
      </c>
      <c r="F52" s="3" t="s">
        <v>148</v>
      </c>
      <c r="G52" s="3" t="s">
        <v>188</v>
      </c>
      <c r="H52" s="3" t="s">
        <v>195</v>
      </c>
      <c r="I52" s="3" t="s">
        <v>85</v>
      </c>
      <c r="J52" s="3" t="s">
        <v>82</v>
      </c>
      <c r="K52" s="3" t="s">
        <v>189</v>
      </c>
      <c r="L52" s="3"/>
      <c r="M52" s="3" t="s">
        <v>122</v>
      </c>
      <c r="N52" s="3" t="s">
        <v>121</v>
      </c>
      <c r="O52" s="3" t="s">
        <v>215</v>
      </c>
      <c r="P52" s="3"/>
      <c r="Q52" s="3" t="s">
        <v>64</v>
      </c>
      <c r="R52" s="3"/>
      <c r="S52" s="3"/>
      <c r="T52" s="3" t="s">
        <v>137</v>
      </c>
      <c r="U52" s="3" t="s">
        <v>143</v>
      </c>
      <c r="V52" s="3"/>
      <c r="W52" s="3"/>
      <c r="X52" s="3"/>
      <c r="Y52" s="3" t="s">
        <v>165</v>
      </c>
      <c r="Z52" s="3"/>
      <c r="AD52" s="1"/>
    </row>
    <row r="53" spans="2:30" ht="83.35" x14ac:dyDescent="0.8">
      <c r="B53" s="3">
        <v>2025</v>
      </c>
      <c r="C53" s="3" t="s">
        <v>75</v>
      </c>
      <c r="D53" s="3" t="s">
        <v>226</v>
      </c>
      <c r="E53" s="3" t="s">
        <v>203</v>
      </c>
      <c r="F53" s="3" t="s">
        <v>117</v>
      </c>
      <c r="G53" s="3" t="s">
        <v>109</v>
      </c>
      <c r="H53" s="3" t="s">
        <v>196</v>
      </c>
      <c r="I53" s="3" t="s">
        <v>199</v>
      </c>
      <c r="J53" s="3"/>
      <c r="K53" s="3" t="s">
        <v>221</v>
      </c>
      <c r="L53" s="3"/>
      <c r="M53" s="3"/>
      <c r="N53" s="3"/>
      <c r="O53" s="3" t="s">
        <v>218</v>
      </c>
      <c r="P53" s="3" t="s">
        <v>201</v>
      </c>
      <c r="Q53" s="3" t="s">
        <v>198</v>
      </c>
      <c r="R53" s="3"/>
      <c r="S53" s="3"/>
      <c r="T53" s="3" t="s">
        <v>136</v>
      </c>
      <c r="U53" s="3" t="s">
        <v>145</v>
      </c>
      <c r="V53" s="3" t="s">
        <v>154</v>
      </c>
      <c r="W53" s="3" t="s">
        <v>224</v>
      </c>
      <c r="X53" s="3"/>
      <c r="Y53" s="3" t="s">
        <v>197</v>
      </c>
      <c r="Z53" s="3"/>
      <c r="AD53" s="1"/>
    </row>
    <row r="54" spans="2:30" ht="100" x14ac:dyDescent="0.8">
      <c r="B54" s="3" t="s">
        <v>204</v>
      </c>
      <c r="C54" s="3"/>
      <c r="D54" s="3" t="s">
        <v>230</v>
      </c>
      <c r="E54" s="3" t="s">
        <v>228</v>
      </c>
      <c r="F54" s="3"/>
      <c r="G54" s="3"/>
      <c r="H54" s="3"/>
      <c r="I54" s="3" t="s">
        <v>200</v>
      </c>
      <c r="J54" s="3"/>
      <c r="K54" s="3" t="s">
        <v>208</v>
      </c>
      <c r="L54" s="3"/>
      <c r="M54" s="3"/>
      <c r="N54" s="3" t="s">
        <v>207</v>
      </c>
      <c r="O54" s="3"/>
      <c r="P54" s="3" t="s">
        <v>202</v>
      </c>
      <c r="Q54" s="3" t="s">
        <v>219</v>
      </c>
      <c r="R54" s="3"/>
      <c r="S54" s="3"/>
      <c r="T54" s="3"/>
      <c r="U54" s="3"/>
      <c r="V54" s="3"/>
      <c r="W54" s="3"/>
      <c r="X54" s="3"/>
      <c r="Y54" s="3" t="s">
        <v>225</v>
      </c>
      <c r="Z54" s="3"/>
      <c r="AD54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2025-12-28T14:00:21Z</dcterms:modified>
</cp:coreProperties>
</file>