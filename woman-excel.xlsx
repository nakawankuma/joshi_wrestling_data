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01B39771-0FDA-411B-B090-1485CA841D57}" xr6:coauthVersionLast="47" xr6:coauthVersionMax="47" xr10:uidLastSave="{00000000-0000-0000-0000-000000000000}"/>
  <bookViews>
    <workbookView xWindow="5613" yWindow="280" windowWidth="19020" windowHeight="13400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L2" i="1" a="1"/>
  <c r="L2" i="1" s="1"/>
  <c r="M2" i="1" a="1"/>
  <c r="M2" i="1" s="1"/>
  <c r="K2" i="1" a="1"/>
  <c r="K2" i="1" s="1"/>
  <c r="H2" i="1" a="1"/>
  <c r="H2" i="1" s="1"/>
  <c r="I2" i="1" a="1"/>
  <c r="I2" i="1" s="1"/>
  <c r="D2" i="1" a="1"/>
  <c r="D2" i="1" s="1"/>
  <c r="E2" i="1" a="1"/>
  <c r="E2" i="1" s="1"/>
  <c r="F2" i="1" a="1"/>
  <c r="F2" i="1" s="1"/>
  <c r="G2" i="1" a="1"/>
  <c r="G2" i="1" s="1"/>
  <c r="J2" i="1" a="1"/>
  <c r="J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<sst xmlns="http://schemas.openxmlformats.org/spreadsheetml/2006/main" count="233" uniqueCount="232">
  <si>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</si>
  <si>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</si>
  <si>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</si>
  <si>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</si>
  <si>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</si>
  <si>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</si>
  <si>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</si>
  <si>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</si>
  <si>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</si>
  <si>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</si>
  <si>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</si>
  <si>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</si>
  <si>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</si>
  <si>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</si>
  <si>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</si>
  <si>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</si>
  <si>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</si>
  <si>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</si>
  <si>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</si>
  <si>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</si>
  <si>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</si>
  <si>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</si>
  <si>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</si>
  <si>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</si>
  <si>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</si>
  <si>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</si>
  <si>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</si>
  <si>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</si>
  <si>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</si>
  <si>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</si>
  <si>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</si>
  <si>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</si>
  <si>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</si>
  <si>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</si>
  <si>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</si>
  <si>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</si>
  <si>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</si>
  <si>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</si>
  <si>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</si>
  <si>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</si>
  <si>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</si>
  <si>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</si>
  <si>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</si>
  <si>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</si>
  <si>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宮本もか</t>
    <rPh sb="0" eb="2">
      <t>ミヤモト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</si>
  <si>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</si>
  <si>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</si>
  <si>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</si>
  <si>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</si>
  <si>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</si>
  <si>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</si>
  <si>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</si>
  <si>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</si>
  <si>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</si>
  <si>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</si>
  <si>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</si>
  <si>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</si>
  <si>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</si>
  <si>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</si>
  <si>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</si>
  <si>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</si>
  <si>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</si>
  <si>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</si>
  <si>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</si>
  <si>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</si>
  <si>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</si>
  <si>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</si>
  <si>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</si>
  <si>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</si>
  <si>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</si>
  <si>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</si>
  <si>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</si>
  <si>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</si>
  <si>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</si>
  <si>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</si>
  <si>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</si>
  <si>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</si>
  <si>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</si>
  <si>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</si>
  <si>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</si>
  <si>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</si>
  <si>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</si>
  <si>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</si>
  <si>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</si>
  <si>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</si>
  <si>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</si>
  <si>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</si>
  <si>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</si>
  <si>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</si>
  <si>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</si>
  <si>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</si>
  <si>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</si>
  <si>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</si>
  <si>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</si>
  <si>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</si>
  <si>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</si>
  <si>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</si>
  <si>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</si>
  <si>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</si>
  <si>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</si>
  <si>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</si>
  <si>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</si>
  <si>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</si>
  <si>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</si>
  <si>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</si>
  <si>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</si>
  <si>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</si>
  <si>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</si>
  <si>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</si>
  <si>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</si>
  <si>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</si>
  <si>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</si>
  <si>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</si>
  <si>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</si>
  <si>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</si>
  <si>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</si>
  <si>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</si>
  <si>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</si>
  <si>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</si>
  <si>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ゆづき(HCC)
chou・chou(HCC)</t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</si>
  <si>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</si>
  <si>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</si>
  <si>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</si>
  <si>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伊藤麻希
小橋マリカ</t>
    <phoneticPr fontId="1"/>
  </si>
  <si>
    <t>彩芽蒼空
暁千華</t>
    <phoneticPr fontId="1"/>
  </si>
  <si>
    <t>飯田沙耶
上谷沙弥
向後桃
舞華(休)</t>
    <rPh sb="10" eb="12">
      <t>コウゴ</t>
    </rPh>
    <rPh sb="12" eb="13">
      <t>モモ</t>
    </rPh>
    <rPh sb="14" eb="16">
      <t>マイカ</t>
    </rPh>
    <rPh sb="17" eb="18">
      <t>キュウ</t>
    </rPh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</si>
  <si>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</si>
  <si>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</si>
  <si>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</si>
  <si>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</si>
  <si>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レディくらら
レディせりな</t>
    <phoneticPr fontId="1"/>
  </si>
  <si>
    <t>藤本つかさ(IR)(休)
星ハム子(IR)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</si>
  <si>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</si>
  <si>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</si>
  <si>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</si>
  <si>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</si>
  <si>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</si>
  <si>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</si>
  <si>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</si>
  <si>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</si>
  <si>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</si>
  <si>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</si>
  <si>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</si>
  <si>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</si>
  <si>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</si>
  <si>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</si>
  <si>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</si>
  <si>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</si>
  <si>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</si>
  <si>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</si>
  <si>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</si>
  <si>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</si>
  <si>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優宇(EVE)(2025.12.28引退予定)</t>
    <phoneticPr fontId="1"/>
  </si>
  <si>
    <t>加藤園子(OZ)(2025.11.23引退予定)
ミス・モンゴル(世界)</t>
    <rPh sb="0" eb="2">
      <t>カトウ</t>
    </rPh>
    <rPh sb="2" eb="4">
      <t>ソノコ</t>
    </rPh>
    <rPh sb="19" eb="21">
      <t>インタイ</t>
    </rPh>
    <rPh sb="21" eb="23">
      <t>ヨテイ</t>
    </rPh>
    <rPh sb="33" eb="35">
      <t>セカイ</t>
    </rPh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</si>
  <si>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</si>
  <si>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</si>
  <si>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</si>
  <si>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</si>
  <si>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咲村良子</t>
    <rPh sb="0" eb="1">
      <t>サキ</t>
    </rPh>
    <rPh sb="1" eb="2">
      <t>ムラ</t>
    </rPh>
    <rPh sb="2" eb="4">
      <t>ヨシコ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</si>
  <si>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</si>
  <si>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</si>
  <si>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</si>
  <si>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</si>
  <si>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</si>
  <si>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</si>
  <si>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</si>
  <si>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</si>
  <si>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</si>
  <si>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</si>
  <si>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</si>
  <si>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</si>
  <si>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</si>
  <si>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</si>
  <si>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</si>
  <si>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2.5(11.24～なにわ女子)</t>
    <rPh sb="13" eb="15">
      <t>ジョシ</t>
    </rPh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</si>
  <si>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</si>
  <si>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</si>
  <si>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</si>
  <si>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</si>
  <si>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</si>
  <si>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</si>
  <si>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</si>
  <si>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スーパーW
フライング・ペンギン(別名あり)
ぽっぽちゃん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</si>
  <si>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</si>
  <si>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</si>
  <si>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</si>
  <si>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七星
馬頭ほかげ
りえまる</t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</si>
  <si>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</si>
  <si>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</si>
  <si>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</si>
  <si>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</si>
  <si>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</si>
  <si>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</si>
  <si>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</si>
  <si>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&lt;虎牙のん&gt;(2025.12.29デビュー予定)</t>
    <rPh sb="21" eb="23">
      <t>ヨテイ</t>
    </rPh>
    <phoneticPr fontId="1"/>
  </si>
  <si>
    <t>青葉ちい
山下真菜
研菜々美
天翔ゆい(2025.12.29卒業予定)</t>
    <rPh sb="0" eb="2">
      <t>アオバ</t>
    </rPh>
    <rPh sb="5" eb="7">
      <t>ヤマシタ</t>
    </rPh>
    <rPh sb="7" eb="9">
      <t>マナ</t>
    </rPh>
    <rPh sb="10" eb="14">
      <t>トギナナミ</t>
    </rPh>
    <rPh sb="15" eb="17">
      <t>テンショウ</t>
    </rPh>
    <rPh sb="30" eb="32">
      <t>ソツギョウ</t>
    </rPh>
    <rPh sb="32" eb="34">
      <t>ヨテイ</t>
    </rPh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</si>
  <si>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</si>
  <si>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</si>
  <si>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</si>
  <si>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</si>
  <si>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</si>
  <si>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</si>
  <si>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</si>
  <si>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</si>
  <si>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</si>
  <si>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</si>
  <si>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</si>
  <si>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</si>
  <si>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羽南
メーガンベーン</t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</si>
  <si>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</si>
  <si>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</si>
  <si>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</si>
  <si>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&lt;堀このみ&gt;(ZeroOne)
&lt;七世真理子&gt;
(ZeroOne)</t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</si>
  <si>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</si>
  <si>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</si>
  <si>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</si>
  <si>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わかな</t>
    <phoneticPr fontId="1"/>
  </si>
  <si>
    <t>&lt;彩夢&gt;</t>
  </si>
  <si>
    <t>小夏れん</t>
    <phoneticPr fontId="1"/>
  </si>
  <si>
    <t>&lt;シオン&gt;仮
&lt;アンリ&gt;仮
&lt;ユウカ&gt;仮</t>
    <phoneticPr fontId="1"/>
  </si>
  <si>
    <t>デビュー前</t>
    <rPh sb="4" eb="5">
      <t>マエ</t>
    </rPh>
    <phoneticPr fontId="1"/>
  </si>
  <si>
    <t>優華</t>
    <phoneticPr fontId="1"/>
  </si>
  <si>
    <t>吏南
妃南
鈴季すず
水森由菜
星来芽依
ジーナ(休)</t>
    <rPh sb="6" eb="8">
      <t>スズキ</t>
    </rPh>
    <rPh sb="11" eb="13">
      <t>ミズモリ</t>
    </rPh>
    <rPh sb="13" eb="15">
      <t>ユナ</t>
    </rPh>
    <rPh sb="16" eb="20">
      <t>セイラメイ</t>
    </rPh>
    <rPh sb="25" eb="26">
      <t>キュウ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</si>
  <si>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</si>
  <si>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</si>
  <si>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</si>
  <si>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&lt;希咲みなみ&gt;(2026.1.4デビュー予定)
&lt;ひな&gt;(2026.1.4デビュー予定)
&lt;髙橋光咲&gt;(2026.1.4デビュー予定)
&lt;伊田惟吹&gt;(2026.1.4デビュー予定)
&lt;当麻煌&gt;(2026.1.4デビュー予定)
&lt;直江ミう&gt;(2026.1.4デビュー予定)</t>
    <rPh sb="1" eb="3">
      <t>キサキ</t>
    </rPh>
    <rPh sb="20" eb="22">
      <t>ヨテイ</t>
    </rPh>
    <rPh sb="46" eb="48">
      <t>タカハシ</t>
    </rPh>
    <rPh sb="48" eb="50">
      <t>ミサキ</t>
    </rPh>
    <rPh sb="69" eb="71">
      <t>イダ</t>
    </rPh>
    <rPh sb="71" eb="72">
      <t>ノブ</t>
    </rPh>
    <rPh sb="72" eb="73">
      <t>スイ</t>
    </rPh>
    <rPh sb="92" eb="94">
      <t>トウマ</t>
    </rPh>
    <rPh sb="114" eb="116">
      <t>ナオエ</t>
    </rPh>
    <phoneticPr fontId="1"/>
  </si>
  <si>
    <t>&lt;松橋ななを&gt;(2025.12.6デビュー予定)</t>
    <phoneticPr fontId="1"/>
  </si>
  <si>
    <t>シン・広田・葛飾さくら</t>
    <phoneticPr fontId="1"/>
  </si>
  <si>
    <t>稲葉ともか
rhythm(12.31退団予定)</t>
    <rPh sb="0" eb="2">
      <t>イナバ</t>
    </rPh>
    <rPh sb="18" eb="20">
      <t>タイダン</t>
    </rPh>
    <rPh sb="20" eb="22">
      <t>ヨテイ</t>
    </rPh>
    <phoneticPr fontId="1"/>
  </si>
  <si>
    <t>&lt;摩利乃&gt;
&lt;小谷さつき&gt;</t>
    <phoneticPr fontId="1"/>
  </si>
  <si>
    <t>梨央
弥福かな
&lt;ゴんべ&gt;(11.24プレデビュー)</t>
    <rPh sb="0" eb="2">
      <t>リオ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</si>
</sst>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22" xr3:uid="{8EA6491D-1F78-431F-AD9B-C8AB4F6616E9}" name="TJPW" dataDxfId="22"/>
    <tableColumn id="18" xr3:uid="{6DD05DFF-D195-4CF5-BFC5-531553A9ADC5}" name="AWG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(1.4旗揚げ)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20" xr3:uid="{86389032-6123-44BF-98AB-D3CA13F2577A}" name="LLPW-X" dataDxfId="11"/>
    <tableColumn id="34" xr3:uid="{C9FDFCD5-EB7A-4498-855C-DD4AF6E60734}" name="2.5(11.24～なにわ女子)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B54"/>
  <sheetViews>
    <sheetView tabSelected="1" zoomScale="55" zoomScaleNormal="55" workbookViewId="0">
      <pane xSplit="2" ySplit="4" topLeftCell="C51" activePane="bottomRight" state="frozen"/>
      <selection pane="topRight" activeCell="C1" sqref="C1"/>
      <selection pane="bottomLeft" activeCell="A5" sqref="A5"/>
      <selection pane="bottomRight" activeCell="E53" sqref="E53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19.1640625" style="1" bestFit="1" customWidth="1"/>
    <col min="4" max="4" width="13.6640625" style="1" bestFit="1" customWidth="1"/>
    <col min="5" max="5" width="27" style="1" bestFit="1" customWidth="1"/>
    <col min="6" max="6" width="20.27734375" bestFit="1" customWidth="1"/>
    <col min="7" max="7" width="27" style="1" bestFit="1" customWidth="1"/>
    <col min="8" max="8" width="18.94140625" style="1" bestFit="1" customWidth="1"/>
    <col min="9" max="9" width="21.0546875" style="1" bestFit="1" customWidth="1"/>
    <col min="10" max="10" width="13.609375" style="1" bestFit="1" customWidth="1"/>
    <col min="11" max="11" width="33.77734375" bestFit="1" customWidth="1"/>
    <col min="12" max="12" width="28.71875" bestFit="1" customWidth="1"/>
    <col min="13" max="13" width="13.5" bestFit="1" customWidth="1"/>
    <col min="14" max="14" width="27" bestFit="1" customWidth="1"/>
    <col min="15" max="15" width="12.0546875" bestFit="1" customWidth="1"/>
    <col min="16" max="16" width="26.33203125" style="1" bestFit="1" customWidth="1"/>
    <col min="17" max="17" width="10.27734375" style="1" bestFit="1" customWidth="1"/>
    <col min="18" max="18" width="24.609375" style="1" bestFit="1" customWidth="1"/>
    <col min="19" max="19" width="12" style="1" bestFit="1" customWidth="1"/>
    <col min="20" max="20" width="10.27734375" style="1" bestFit="1" customWidth="1"/>
    <col min="21" max="21" width="19.1640625" bestFit="1" customWidth="1"/>
    <col min="22" max="22" width="11.6640625" bestFit="1" customWidth="1"/>
    <col min="23" max="23" width="26.27734375" bestFit="1" customWidth="1"/>
    <col min="24" max="24" width="14.77734375" bestFit="1" customWidth="1"/>
    <col min="25" max="25" width="30.0546875" style="1" bestFit="1" customWidth="1"/>
    <col min="26" max="26" width="17" style="1" bestFit="1" customWidth="1"/>
    <col min="27" max="27" width="27.33203125" style="1"/>
    <col min="29" max="16384" width="27.33203125" style="1"/>
  </cols>
  <sheetData>
    <row r="1" spans="1:28" ht="16" x14ac:dyDescent="0.8">
      <c r="A1" s="1" t="s">
        <v>114</v>
      </c>
      <c r="F1" s="1"/>
      <c r="K1" s="1"/>
      <c r="L1" s="1"/>
      <c r="M1" s="1"/>
      <c r="N1" s="1"/>
      <c r="O1" s="1"/>
      <c r="U1" s="1"/>
      <c r="V1" s="1"/>
      <c r="W1" s="1"/>
      <c r="X1" s="1"/>
      <c r="AB1" s="1"/>
    </row>
    <row r="2" spans="1:28" ht="16" x14ac:dyDescent="0.8">
      <c r="B2" s="1">
        <f>SUM(C2:RZ2)</f>
        <v>363</v>
      </c>
      <c r="C2" s="1" cm="1">
        <f t="array" ref="C2">SUMPRODUCT(
  IF(LEN(C5:C999)=0, 0,
     LEN(C5:C999) - LEN(SUBSTITUTE(C5:C999, CHAR(10), "")) + 1
  )
)</f>
        <v>44</v>
      </c>
      <c r="D2" s="1" cm="1">
        <f t="array" ref="D2">SUMPRODUCT(
  IF(LEN(D5:D999)=0, 0,
     LEN(D5:D999) - LEN(SUBSTITUTE(D5:D999, CHAR(10), "")) + 1
  )
)</f>
        <v>30</v>
      </c>
      <c r="E2" s="1" cm="1">
        <f t="array" ref="E2">SUMPRODUCT(
  IF(LEN(E5:E999)=0, 0,
     LEN(E5:E999) - LEN(SUBSTITUTE(E5:E999, CHAR(10), "")) + 1
  )
)</f>
        <v>29</v>
      </c>
      <c r="F2" s="1" cm="1">
        <f t="array" ref="F2">SUMPRODUCT(
  IF(LEN(F5:F999)=0, 0,
     LEN(F5:F999) - LEN(SUBSTITUTE(F5:F999, CHAR(10), "")) + 1
  )
)</f>
        <v>22</v>
      </c>
      <c r="G2" s="1" cm="1">
        <f t="array" ref="G2">SUMPRODUCT(
  IF(LEN(G5:G999)=0, 0,
     LEN(G5:G999) - LEN(SUBSTITUTE(G5:G999, CHAR(10), "")) + 1
  )
)</f>
        <v>18</v>
      </c>
      <c r="H2" s="1" cm="1">
        <f t="array" ref="H2">SUMPRODUCT(
  IF(LEN(H5:H999)=0, 0,
     LEN(H5:H999) - LEN(SUBSTITUTE(H5:H999, CHAR(10), "")) + 1
  )
)</f>
        <v>13</v>
      </c>
      <c r="I2" s="1" cm="1">
        <f t="array" ref="I2">SUMPRODUCT(
  IF(LEN(I5:I999)=0, 0,
     LEN(I5:I999) - LEN(SUBSTITUTE(I5:I999, CHAR(10), "")) + 1
  )
)</f>
        <v>12</v>
      </c>
      <c r="J2" s="1" cm="1">
        <f t="array" ref="J2">SUMPRODUCT(
  IF(LEN(J5:J999)=0, 0,
     LEN(J5:J999) - LEN(SUBSTITUTE(J5:J999, CHAR(10), "")) + 1
  )
)</f>
        <v>11</v>
      </c>
      <c r="K2" s="1" cm="1">
        <f t="array" ref="K2">SUMPRODUCT(
  IF(LEN(K5:K999)=0, 0,
     LEN(K5:K999) - LEN(SUBSTITUTE(K5:K999, CHAR(10), "")) + 1
  )
)</f>
        <v>11</v>
      </c>
      <c r="L2" s="1" cm="1">
        <f t="array" ref="L2">SUMPRODUCT(
  IF(LEN(L5:L999)=0, 0,
     LEN(L5:L999) - LEN(SUBSTITUTE(L5:L999, CHAR(10), "")) + 1
  )
)</f>
        <v>10</v>
      </c>
      <c r="M2" s="1" cm="1">
        <f t="array" ref="M2">SUMPRODUCT(
  IF(LEN(M5:M999)=0, 0,
     LEN(M5:M999) - LEN(SUBSTITUTE(M5:M999, CHAR(10), "")) + 1
  )
)</f>
        <v>9</v>
      </c>
      <c r="N2" s="1" cm="1">
        <f t="array" ref="N2">SUMPRODUCT(
  IF(LEN(N5:N999)=0, 0,
     LEN(N5:N999) - LEN(SUBSTITUTE(N5:N999, CHAR(10), "")) + 1
  )
)</f>
        <v>9</v>
      </c>
      <c r="O2" s="1" cm="1">
        <f t="array" ref="O2">SUMPRODUCT(
  IF(LEN(O5:O999)=0, 0,
     LEN(O5:O999) - LEN(SUBSTITUTE(O5:O999, CHAR(10), "")) + 1
  )
)</f>
        <v>6</v>
      </c>
      <c r="P2" s="1" cm="1">
        <f t="array" ref="P2">SUMPRODUCT(
  IF(LEN(P5:P999)=0, 0,
     LEN(P5:P999) - LEN(SUBSTITUTE(P5:P999, CHAR(10), "")) + 1
  )
)</f>
        <v>6</v>
      </c>
      <c r="Q2" s="1" cm="1">
        <f t="array" ref="Q2">SUMPRODUCT(
  IF(LEN(Q5:Q999)=0, 0,
     LEN(Q5:Q999) - LEN(SUBSTITUTE(Q5:Q999, CHAR(10), "")) + 1
  )
)</f>
        <v>5</v>
      </c>
      <c r="R2" s="1" cm="1">
        <f t="array" ref="R2">SUMPRODUCT(
  IF(LEN(R5:R999)=0, 0,
     LEN(R5:R999) - LEN(SUBSTITUTE(R5:R999, CHAR(10), "")) + 1
  )
)</f>
        <v>5</v>
      </c>
      <c r="S2" s="1" cm="1">
        <f t="array" ref="S2">SUMPRODUCT(
  IF(LEN(S5:S999)=0, 0,
     LEN(S5:S999) - LEN(SUBSTITUTE(S5:S999, CHAR(10), "")) + 1
  )
)</f>
        <v>4</v>
      </c>
      <c r="T2" s="1" cm="1">
        <f t="array" ref="T2">SUMPRODUCT(
  IF(LEN(T5:T999)=0, 0,
     LEN(T5:T999) - LEN(SUBSTITUTE(T5:T999, CHAR(10), "")) + 1
  )
)</f>
        <v>4</v>
      </c>
      <c r="U2" s="1" cm="1">
        <f t="array" ref="U2">SUMPRODUCT(
  IF(LEN(U5:U999)=0, 0,
     LEN(U5:U999) - LEN(SUBSTITUTE(U5:U999, CHAR(10), "")) + 1
  )
)</f>
        <v>4</v>
      </c>
      <c r="V2" s="1" cm="1">
        <f t="array" ref="V2">SUMPRODUCT(
  IF(LEN(V5:V999)=0, 0,
     LEN(V5:V999) - LEN(SUBSTITUTE(V5:V999, CHAR(10), "")) + 1
  )
)</f>
        <v>4</v>
      </c>
      <c r="W2" s="1" cm="1">
        <f t="array" ref="W2">SUMPRODUCT(
  IF(LEN(W5:W999)=0, 0,
     LEN(W5:W999) - LEN(SUBSTITUTE(W5:W999, CHAR(10), "")) + 1
  )
)</f>
        <v>4</v>
      </c>
      <c r="X2" s="1" cm="1">
        <f t="array" ref="X2">SUMPRODUCT(
  IF(LEN(X5:X999)=0, 0,
     LEN(X5:X999) - LEN(SUBSTITUTE(X5:X999, CHAR(10), "")) + 1
  )
)</f>
        <v>8</v>
      </c>
      <c r="Y2" s="1" cm="1">
        <f t="array" ref="Y2">SUMPRODUCT(
  IF(LEN(Y5:Y999)=0, 0,
     LEN(Y5:Y999) - LEN(SUBSTITUTE(Y5:Y999, CHAR(10), "")) + 1
  )
)</f>
        <v>45</v>
      </c>
      <c r="Z2" s="1" cm="1">
        <f t="array" ref="Z2">SUMPRODUCT(
  IF(LEN(Z5:Z999)=0, 0,
     LEN(Z5:Z999) - LEN(SUBSTITUTE(Z5:Z999, CHAR(10), "")) + 1
  )
)</f>
        <v>50</v>
      </c>
      <c r="AB2" s="1"/>
    </row>
    <row r="3" spans="1:28" ht="16" x14ac:dyDescent="0.8">
      <c r="F3" s="1"/>
      <c r="K3" s="1"/>
      <c r="L3" s="1"/>
      <c r="M3" s="1"/>
      <c r="N3" s="1"/>
      <c r="O3" s="1"/>
      <c r="U3" s="1"/>
      <c r="V3" s="1"/>
      <c r="W3" s="1"/>
      <c r="X3" s="1"/>
      <c r="AB3" s="1"/>
    </row>
    <row r="4" spans="1:28" ht="16.7" x14ac:dyDescent="0.8">
      <c r="B4" s="2" t="s">
        <v>6</v>
      </c>
      <c r="C4" s="2" t="s">
        <v>0</v>
      </c>
      <c r="D4" s="2" t="s">
        <v>38</v>
      </c>
      <c r="E4" s="2" t="s">
        <v>5</v>
      </c>
      <c r="F4" s="2" t="s">
        <v>3</v>
      </c>
      <c r="G4" s="2" t="s">
        <v>87</v>
      </c>
      <c r="H4" s="2" t="s">
        <v>18</v>
      </c>
      <c r="I4" s="2" t="s">
        <v>51</v>
      </c>
      <c r="J4" s="2" t="s">
        <v>61</v>
      </c>
      <c r="K4" s="2" t="s">
        <v>206</v>
      </c>
      <c r="L4" s="2" t="s">
        <v>55</v>
      </c>
      <c r="M4" s="2" t="s">
        <v>97</v>
      </c>
      <c r="N4" s="2" t="s">
        <v>8</v>
      </c>
      <c r="O4" s="2" t="s">
        <v>20</v>
      </c>
      <c r="P4" s="2" t="s">
        <v>174</v>
      </c>
      <c r="Q4" s="2" t="s">
        <v>4</v>
      </c>
      <c r="R4" s="2" t="s">
        <v>28</v>
      </c>
      <c r="S4" s="2" t="s">
        <v>7</v>
      </c>
      <c r="T4" s="2" t="s">
        <v>139</v>
      </c>
      <c r="U4" s="2" t="s">
        <v>148</v>
      </c>
      <c r="V4" s="2" t="s">
        <v>162</v>
      </c>
      <c r="W4" s="2" t="s">
        <v>187</v>
      </c>
      <c r="X4" s="2" t="s">
        <v>104</v>
      </c>
      <c r="Y4" s="2" t="s">
        <v>37</v>
      </c>
      <c r="Z4" s="2" t="s">
        <v>10</v>
      </c>
      <c r="AB4" s="1"/>
    </row>
    <row r="5" spans="1:28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B5" s="1"/>
    </row>
    <row r="6" spans="1:28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B6" s="1"/>
    </row>
    <row r="7" spans="1:28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B7" s="1"/>
    </row>
    <row r="8" spans="1:28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B8" s="1"/>
    </row>
    <row r="9" spans="1:28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B9" s="1"/>
    </row>
    <row r="10" spans="1:28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B10" s="1"/>
    </row>
    <row r="11" spans="1:28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B11" s="1"/>
    </row>
    <row r="12" spans="1:28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B12" s="1"/>
    </row>
    <row r="13" spans="1:28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138</v>
      </c>
      <c r="Z13" s="3"/>
      <c r="AB13" s="1"/>
    </row>
    <row r="14" spans="1:28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21</v>
      </c>
      <c r="P14" s="3"/>
      <c r="Q14" s="3"/>
      <c r="R14" s="3"/>
      <c r="S14" s="3"/>
      <c r="T14" s="3"/>
      <c r="U14" s="3"/>
      <c r="V14" s="3"/>
      <c r="W14" s="3"/>
      <c r="X14" s="3"/>
      <c r="Y14" s="3" t="s">
        <v>67</v>
      </c>
      <c r="Z14" s="3" t="s">
        <v>16</v>
      </c>
      <c r="AB14" s="1"/>
    </row>
    <row r="15" spans="1:28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116</v>
      </c>
      <c r="AB15" s="1"/>
    </row>
    <row r="16" spans="1:28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 t="s">
        <v>19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B16" s="1"/>
    </row>
    <row r="17" spans="2:28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146</v>
      </c>
      <c r="Z17" s="3" t="s">
        <v>145</v>
      </c>
      <c r="AB17" s="1"/>
    </row>
    <row r="18" spans="2:28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B18" s="1"/>
    </row>
    <row r="19" spans="2:28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B19" s="1"/>
    </row>
    <row r="20" spans="2:28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B20" s="1"/>
    </row>
    <row r="21" spans="2:28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B21" s="1"/>
    </row>
    <row r="22" spans="2:28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B22" s="1"/>
    </row>
    <row r="23" spans="2:28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62</v>
      </c>
      <c r="K23" s="3"/>
      <c r="L23" s="3"/>
      <c r="M23" s="3"/>
      <c r="N23" s="3"/>
      <c r="O23" s="3"/>
      <c r="P23" s="3"/>
      <c r="Q23" s="3"/>
      <c r="R23" s="3" t="s">
        <v>154</v>
      </c>
      <c r="S23" s="3"/>
      <c r="T23" s="3"/>
      <c r="U23" s="3"/>
      <c r="V23" s="3"/>
      <c r="W23" s="3"/>
      <c r="X23" s="3"/>
      <c r="Y23" s="3" t="s">
        <v>153</v>
      </c>
      <c r="Z23" s="3" t="s">
        <v>68</v>
      </c>
      <c r="AB23" s="1"/>
    </row>
    <row r="24" spans="2:28" ht="33.35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228</v>
      </c>
      <c r="AB24" s="1"/>
    </row>
    <row r="25" spans="2:28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98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91</v>
      </c>
      <c r="AB25" s="1"/>
    </row>
    <row r="26" spans="2:28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88</v>
      </c>
      <c r="Z26" s="3" t="s">
        <v>34</v>
      </c>
      <c r="AB26" s="1"/>
    </row>
    <row r="27" spans="2:28" ht="16.7" x14ac:dyDescent="0.8">
      <c r="B27" s="3">
        <v>1999</v>
      </c>
      <c r="C27" s="3" t="s">
        <v>49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89</v>
      </c>
      <c r="Z27" s="3"/>
      <c r="AB27" s="1"/>
    </row>
    <row r="28" spans="2:28" ht="33.35" x14ac:dyDescent="0.8">
      <c r="B28" s="3">
        <v>2000</v>
      </c>
      <c r="C28" s="3"/>
      <c r="D28" s="3"/>
      <c r="E28" s="3" t="s">
        <v>35</v>
      </c>
      <c r="F28" s="3"/>
      <c r="G28" s="3"/>
      <c r="H28" s="3"/>
      <c r="I28" s="3"/>
      <c r="J28" s="3"/>
      <c r="K28" s="3"/>
      <c r="L28" s="3"/>
      <c r="M28" s="3" t="s">
        <v>99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93</v>
      </c>
      <c r="AB28" s="1"/>
    </row>
    <row r="29" spans="2:28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70</v>
      </c>
      <c r="S29" s="3"/>
      <c r="T29" s="3"/>
      <c r="U29" s="3"/>
      <c r="V29" s="3"/>
      <c r="W29" s="3"/>
      <c r="X29" s="3"/>
      <c r="Y29" s="3"/>
      <c r="Z29" s="3"/>
      <c r="AB29" s="1"/>
    </row>
    <row r="30" spans="2:28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92</v>
      </c>
      <c r="Z30" s="3"/>
      <c r="AB30" s="1"/>
    </row>
    <row r="31" spans="2:28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B31" s="1"/>
    </row>
    <row r="32" spans="2:28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64</v>
      </c>
      <c r="Z32" s="3" t="s">
        <v>90</v>
      </c>
      <c r="AB32" s="1"/>
    </row>
    <row r="33" spans="2:28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96</v>
      </c>
      <c r="T33" s="3"/>
      <c r="U33" s="3"/>
      <c r="V33" s="3"/>
      <c r="W33" s="3"/>
      <c r="X33" s="3"/>
      <c r="Y33" s="3" t="s">
        <v>169</v>
      </c>
      <c r="Z33" s="3"/>
      <c r="AB33" s="1"/>
    </row>
    <row r="34" spans="2:28" ht="66.7" x14ac:dyDescent="0.8">
      <c r="B34" s="3">
        <v>2006</v>
      </c>
      <c r="C34" s="3"/>
      <c r="D34" s="3"/>
      <c r="E34" s="3"/>
      <c r="F34" s="3"/>
      <c r="G34" s="3" t="s">
        <v>205</v>
      </c>
      <c r="H34" s="3"/>
      <c r="I34" s="3"/>
      <c r="J34" s="3"/>
      <c r="K34" s="3" t="s">
        <v>205</v>
      </c>
      <c r="L34" s="3" t="s">
        <v>56</v>
      </c>
      <c r="M34" s="3" t="s">
        <v>100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60</v>
      </c>
      <c r="Y34" s="3"/>
      <c r="Z34" s="3" t="s">
        <v>117</v>
      </c>
      <c r="AB34" s="1"/>
    </row>
    <row r="35" spans="2:28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105</v>
      </c>
      <c r="Y35" s="3"/>
      <c r="Z35" s="3" t="s">
        <v>170</v>
      </c>
      <c r="AB35" s="1"/>
    </row>
    <row r="36" spans="2:28" ht="33.35" x14ac:dyDescent="0.8">
      <c r="B36" s="3">
        <v>2008</v>
      </c>
      <c r="C36" s="3" t="s">
        <v>207</v>
      </c>
      <c r="D36" s="3"/>
      <c r="E36" s="3"/>
      <c r="F36" s="3"/>
      <c r="G36" s="3" t="s">
        <v>131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59</v>
      </c>
      <c r="Y36" s="3"/>
      <c r="Z36" s="3" t="s">
        <v>69</v>
      </c>
      <c r="AB36" s="1"/>
    </row>
    <row r="37" spans="2:28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63</v>
      </c>
      <c r="Z37" s="3"/>
      <c r="AB37" s="1"/>
    </row>
    <row r="38" spans="2:28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78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94</v>
      </c>
      <c r="Z38" s="3"/>
      <c r="AB38" s="1"/>
    </row>
    <row r="39" spans="2:28" ht="33.35" x14ac:dyDescent="0.8">
      <c r="B39" s="3">
        <v>2011</v>
      </c>
      <c r="C39" s="3" t="s">
        <v>74</v>
      </c>
      <c r="D39" s="3"/>
      <c r="E39" s="3"/>
      <c r="F39" s="3" t="s">
        <v>133</v>
      </c>
      <c r="G39" s="3" t="s">
        <v>113</v>
      </c>
      <c r="H39" s="3"/>
      <c r="I39" s="3"/>
      <c r="J39" s="3"/>
      <c r="K39" s="3"/>
      <c r="L39" s="3" t="s">
        <v>115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106</v>
      </c>
      <c r="Y39" s="3"/>
      <c r="Z39" s="3" t="s">
        <v>172</v>
      </c>
      <c r="AB39" s="1"/>
    </row>
    <row r="40" spans="2:28" ht="33.35" x14ac:dyDescent="0.8">
      <c r="B40" s="3">
        <v>2012</v>
      </c>
      <c r="C40" s="3" t="s">
        <v>160</v>
      </c>
      <c r="D40" s="3" t="s">
        <v>43</v>
      </c>
      <c r="E40" s="3" t="s">
        <v>197</v>
      </c>
      <c r="F40" s="3" t="s">
        <v>132</v>
      </c>
      <c r="G40" s="3"/>
      <c r="H40" s="3"/>
      <c r="I40" s="3"/>
      <c r="J40" s="3"/>
      <c r="K40" s="3"/>
      <c r="L40" s="3"/>
      <c r="M40" s="3" t="s">
        <v>101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155</v>
      </c>
      <c r="Z40" s="3"/>
      <c r="AB40" s="1"/>
    </row>
    <row r="41" spans="2:28" ht="100" x14ac:dyDescent="0.8">
      <c r="B41" s="3">
        <v>2013</v>
      </c>
      <c r="C41" s="3" t="s">
        <v>73</v>
      </c>
      <c r="D41" s="3" t="s">
        <v>179</v>
      </c>
      <c r="E41" s="3"/>
      <c r="F41" s="3"/>
      <c r="G41" s="3"/>
      <c r="H41" s="3"/>
      <c r="I41" s="3"/>
      <c r="J41" s="3"/>
      <c r="K41" s="3" t="s">
        <v>221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109</v>
      </c>
      <c r="Y41" s="3" t="s">
        <v>176</v>
      </c>
      <c r="Z41" s="3" t="s">
        <v>178</v>
      </c>
      <c r="AB41" s="1"/>
    </row>
    <row r="42" spans="2:28" ht="16.7" x14ac:dyDescent="0.8">
      <c r="B42" s="3">
        <v>2014</v>
      </c>
      <c r="C42" s="3" t="s">
        <v>224</v>
      </c>
      <c r="D42" s="3" t="s">
        <v>45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159</v>
      </c>
      <c r="Z42" s="3" t="s">
        <v>121</v>
      </c>
      <c r="AB42" s="1"/>
    </row>
    <row r="43" spans="2:28" ht="83.35" x14ac:dyDescent="0.8">
      <c r="B43" s="3">
        <v>2015</v>
      </c>
      <c r="C43" s="3" t="s">
        <v>223</v>
      </c>
      <c r="D43" s="3" t="s">
        <v>42</v>
      </c>
      <c r="E43" s="3"/>
      <c r="F43" s="3"/>
      <c r="G43" s="3"/>
      <c r="H43" s="3"/>
      <c r="I43" s="3"/>
      <c r="J43" s="3"/>
      <c r="K43" s="3"/>
      <c r="L43" s="3" t="s">
        <v>57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107</v>
      </c>
      <c r="Y43" s="3"/>
      <c r="Z43" s="3" t="s">
        <v>184</v>
      </c>
      <c r="AB43" s="1"/>
    </row>
    <row r="44" spans="2:28" ht="33.35" x14ac:dyDescent="0.8">
      <c r="B44" s="3">
        <v>2016</v>
      </c>
      <c r="C44" s="3" t="s">
        <v>75</v>
      </c>
      <c r="D44" s="3"/>
      <c r="E44" s="3" t="s">
        <v>26</v>
      </c>
      <c r="F44" s="3"/>
      <c r="G44" s="3"/>
      <c r="H44" s="3"/>
      <c r="I44" s="3"/>
      <c r="J44" s="3"/>
      <c r="K44" s="3"/>
      <c r="L44" s="3" t="s">
        <v>152</v>
      </c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137</v>
      </c>
      <c r="Z44" s="3" t="s">
        <v>123</v>
      </c>
      <c r="AB44" s="1"/>
    </row>
    <row r="45" spans="2:28" ht="33.35" x14ac:dyDescent="0.8">
      <c r="B45" s="3">
        <v>2017</v>
      </c>
      <c r="C45" s="3" t="s">
        <v>208</v>
      </c>
      <c r="D45" s="3"/>
      <c r="E45" s="3"/>
      <c r="F45" s="3" t="s">
        <v>12</v>
      </c>
      <c r="G45" s="3" t="s">
        <v>112</v>
      </c>
      <c r="H45" s="3" t="s">
        <v>144</v>
      </c>
      <c r="I45" s="3"/>
      <c r="J45" s="3"/>
      <c r="K45" s="3"/>
      <c r="L45" s="3" t="s">
        <v>135</v>
      </c>
      <c r="M45" s="3"/>
      <c r="N45" s="3"/>
      <c r="O45" s="3" t="s">
        <v>22</v>
      </c>
      <c r="P45" s="3"/>
      <c r="Q45" s="3"/>
      <c r="R45" s="3"/>
      <c r="S45" s="3"/>
      <c r="T45" s="3" t="s">
        <v>140</v>
      </c>
      <c r="U45" s="3"/>
      <c r="V45" s="3"/>
      <c r="W45" s="3"/>
      <c r="X45" s="3" t="s">
        <v>122</v>
      </c>
      <c r="Y45" s="3" t="s">
        <v>161</v>
      </c>
      <c r="Z45" s="3" t="s">
        <v>134</v>
      </c>
      <c r="AB45" s="1"/>
    </row>
    <row r="46" spans="2:28" ht="100" x14ac:dyDescent="0.8">
      <c r="B46" s="3">
        <v>2018</v>
      </c>
      <c r="C46" s="3" t="s">
        <v>222</v>
      </c>
      <c r="D46" s="3" t="s">
        <v>180</v>
      </c>
      <c r="E46" s="3" t="s">
        <v>196</v>
      </c>
      <c r="F46" s="3" t="s">
        <v>14</v>
      </c>
      <c r="G46" s="3"/>
      <c r="H46" s="3"/>
      <c r="I46" s="3"/>
      <c r="J46" s="3" t="s">
        <v>79</v>
      </c>
      <c r="K46" s="3"/>
      <c r="L46" s="3"/>
      <c r="M46" s="3" t="s">
        <v>102</v>
      </c>
      <c r="N46" s="3" t="s">
        <v>31</v>
      </c>
      <c r="O46" s="3"/>
      <c r="P46" s="3"/>
      <c r="Q46" s="3"/>
      <c r="R46" s="3" t="s">
        <v>71</v>
      </c>
      <c r="S46" s="3"/>
      <c r="T46" s="3" t="s">
        <v>141</v>
      </c>
      <c r="U46" s="3"/>
      <c r="V46" s="3" t="s">
        <v>166</v>
      </c>
      <c r="W46" s="3"/>
      <c r="X46" s="3" t="s">
        <v>108</v>
      </c>
      <c r="Y46" s="3" t="s">
        <v>167</v>
      </c>
      <c r="Z46" s="3" t="s">
        <v>168</v>
      </c>
      <c r="AB46" s="1"/>
    </row>
    <row r="47" spans="2:28" ht="66.7" x14ac:dyDescent="0.8">
      <c r="B47" s="3">
        <v>2019</v>
      </c>
      <c r="C47" s="3" t="s">
        <v>125</v>
      </c>
      <c r="D47" s="3" t="s">
        <v>46</v>
      </c>
      <c r="E47" s="3"/>
      <c r="F47" s="3"/>
      <c r="G47" s="3" t="s">
        <v>111</v>
      </c>
      <c r="H47" s="3" t="s">
        <v>25</v>
      </c>
      <c r="I47" s="3" t="s">
        <v>229</v>
      </c>
      <c r="J47" s="3" t="s">
        <v>80</v>
      </c>
      <c r="K47" s="3"/>
      <c r="L47" s="3" t="s">
        <v>58</v>
      </c>
      <c r="M47" s="3" t="s">
        <v>127</v>
      </c>
      <c r="N47" s="3"/>
      <c r="O47" s="3"/>
      <c r="P47" s="3"/>
      <c r="Q47" s="3"/>
      <c r="R47" s="3"/>
      <c r="S47" s="3"/>
      <c r="T47" s="3"/>
      <c r="U47" s="3"/>
      <c r="V47" s="3" t="s">
        <v>165</v>
      </c>
      <c r="W47" s="3"/>
      <c r="X47" s="3"/>
      <c r="Y47" s="3" t="s">
        <v>199</v>
      </c>
      <c r="Z47" s="3" t="s">
        <v>198</v>
      </c>
      <c r="AB47" s="1"/>
    </row>
    <row r="48" spans="2:28" ht="50" x14ac:dyDescent="0.8">
      <c r="B48" s="3">
        <v>2020</v>
      </c>
      <c r="C48" s="3" t="s">
        <v>50</v>
      </c>
      <c r="D48" s="3" t="s">
        <v>44</v>
      </c>
      <c r="E48" s="3"/>
      <c r="F48" s="3" t="s">
        <v>13</v>
      </c>
      <c r="G48" s="3"/>
      <c r="H48" s="3"/>
      <c r="I48" s="3"/>
      <c r="J48" s="3"/>
      <c r="K48" s="3"/>
      <c r="L48" s="3"/>
      <c r="M48" s="3" t="s">
        <v>103</v>
      </c>
      <c r="N48" s="3"/>
      <c r="O48" s="3"/>
      <c r="P48" s="3"/>
      <c r="Q48" s="3"/>
      <c r="R48" s="3"/>
      <c r="S48" s="3" t="s">
        <v>95</v>
      </c>
      <c r="T48" s="3"/>
      <c r="U48" s="3"/>
      <c r="V48" s="3"/>
      <c r="W48" s="3"/>
      <c r="X48" s="3"/>
      <c r="Y48" s="3" t="s">
        <v>136</v>
      </c>
      <c r="Z48" s="3" t="s">
        <v>157</v>
      </c>
      <c r="AB48" s="1"/>
    </row>
    <row r="49" spans="2:28" ht="66.7" x14ac:dyDescent="0.8">
      <c r="B49" s="3">
        <v>2021</v>
      </c>
      <c r="C49" s="3" t="s">
        <v>53</v>
      </c>
      <c r="D49" s="3" t="s">
        <v>48</v>
      </c>
      <c r="E49" s="3" t="s">
        <v>54</v>
      </c>
      <c r="F49" s="3" t="s">
        <v>11</v>
      </c>
      <c r="G49" s="3" t="s">
        <v>177</v>
      </c>
      <c r="H49" s="3"/>
      <c r="I49" s="3" t="s">
        <v>85</v>
      </c>
      <c r="J49" s="3"/>
      <c r="K49" s="3"/>
      <c r="L49" s="3"/>
      <c r="M49" s="3"/>
      <c r="N49" s="3" t="s">
        <v>30</v>
      </c>
      <c r="O49" s="3"/>
      <c r="P49" s="3"/>
      <c r="Q49" s="3" t="s">
        <v>66</v>
      </c>
      <c r="R49" s="3" t="s">
        <v>72</v>
      </c>
      <c r="S49" s="3"/>
      <c r="T49" s="3"/>
      <c r="U49" s="3"/>
      <c r="V49" s="3"/>
      <c r="W49" s="3" t="s">
        <v>191</v>
      </c>
      <c r="X49" s="3"/>
      <c r="Y49" s="3" t="s">
        <v>188</v>
      </c>
      <c r="Z49" s="3"/>
      <c r="AB49" s="1"/>
    </row>
    <row r="50" spans="2:28" ht="133.35" x14ac:dyDescent="0.8">
      <c r="B50" s="3">
        <v>2022</v>
      </c>
      <c r="C50" s="3" t="s">
        <v>200</v>
      </c>
      <c r="D50" s="3" t="s">
        <v>41</v>
      </c>
      <c r="E50" s="3" t="s">
        <v>185</v>
      </c>
      <c r="F50" s="3" t="s">
        <v>183</v>
      </c>
      <c r="G50" s="3" t="s">
        <v>203</v>
      </c>
      <c r="H50" s="3" t="s">
        <v>24</v>
      </c>
      <c r="I50" s="3" t="s">
        <v>84</v>
      </c>
      <c r="J50" s="3" t="s">
        <v>81</v>
      </c>
      <c r="K50" s="3" t="s">
        <v>204</v>
      </c>
      <c r="L50" s="3"/>
      <c r="M50" s="3"/>
      <c r="N50" s="3"/>
      <c r="O50" s="3"/>
      <c r="P50" s="3" t="s">
        <v>182</v>
      </c>
      <c r="Q50" s="3"/>
      <c r="R50" s="3"/>
      <c r="S50" s="3"/>
      <c r="T50" s="3"/>
      <c r="U50" s="3"/>
      <c r="V50" s="3"/>
      <c r="W50" s="3" t="s">
        <v>192</v>
      </c>
      <c r="X50" s="3"/>
      <c r="Y50" s="3" t="s">
        <v>189</v>
      </c>
      <c r="Z50" s="3" t="s">
        <v>186</v>
      </c>
      <c r="AB50" s="1"/>
    </row>
    <row r="51" spans="2:28" ht="100" x14ac:dyDescent="0.8">
      <c r="B51" s="3">
        <v>2023</v>
      </c>
      <c r="C51" s="3" t="s">
        <v>27</v>
      </c>
      <c r="D51" s="3" t="s">
        <v>120</v>
      </c>
      <c r="E51" s="3" t="s">
        <v>195</v>
      </c>
      <c r="F51" s="3" t="s">
        <v>15</v>
      </c>
      <c r="G51" s="3" t="s">
        <v>119</v>
      </c>
      <c r="H51" s="3" t="s">
        <v>128</v>
      </c>
      <c r="I51" s="3" t="s">
        <v>52</v>
      </c>
      <c r="J51" s="3" t="s">
        <v>82</v>
      </c>
      <c r="K51" s="3"/>
      <c r="L51" s="3" t="s">
        <v>181</v>
      </c>
      <c r="M51" s="3"/>
      <c r="N51" s="3"/>
      <c r="O51" s="3" t="s">
        <v>147</v>
      </c>
      <c r="P51" s="3" t="s">
        <v>129</v>
      </c>
      <c r="Q51" s="3"/>
      <c r="R51" s="3" t="s">
        <v>171</v>
      </c>
      <c r="S51" s="3"/>
      <c r="T51" s="3"/>
      <c r="U51" s="3" t="s">
        <v>150</v>
      </c>
      <c r="V51" s="3" t="s">
        <v>164</v>
      </c>
      <c r="W51" s="3" t="s">
        <v>193</v>
      </c>
      <c r="X51" s="3"/>
      <c r="Y51" s="3" t="s">
        <v>190</v>
      </c>
      <c r="Z51" s="3" t="s">
        <v>173</v>
      </c>
      <c r="AB51" s="1"/>
    </row>
    <row r="52" spans="2:28" ht="100" x14ac:dyDescent="0.8">
      <c r="B52" s="3">
        <v>2024</v>
      </c>
      <c r="C52" s="3" t="s">
        <v>77</v>
      </c>
      <c r="D52" s="3" t="s">
        <v>47</v>
      </c>
      <c r="E52" s="3" t="s">
        <v>36</v>
      </c>
      <c r="F52" s="3" t="s">
        <v>156</v>
      </c>
      <c r="G52" s="3" t="s">
        <v>201</v>
      </c>
      <c r="H52" s="3" t="s">
        <v>209</v>
      </c>
      <c r="I52" s="3" t="s">
        <v>86</v>
      </c>
      <c r="J52" s="3" t="s">
        <v>83</v>
      </c>
      <c r="K52" s="3" t="s">
        <v>202</v>
      </c>
      <c r="L52" s="3"/>
      <c r="M52" s="3" t="s">
        <v>126</v>
      </c>
      <c r="N52" s="3" t="s">
        <v>124</v>
      </c>
      <c r="O52" s="3"/>
      <c r="P52" s="3" t="s">
        <v>130</v>
      </c>
      <c r="Q52" s="3" t="s">
        <v>65</v>
      </c>
      <c r="R52" s="3"/>
      <c r="S52" s="3"/>
      <c r="T52" s="3" t="s">
        <v>143</v>
      </c>
      <c r="U52" s="3" t="s">
        <v>149</v>
      </c>
      <c r="V52" s="3"/>
      <c r="W52" s="3"/>
      <c r="X52" s="3"/>
      <c r="Y52" s="3" t="s">
        <v>175</v>
      </c>
      <c r="Z52" s="3" t="s">
        <v>158</v>
      </c>
      <c r="AB52" s="1"/>
    </row>
    <row r="53" spans="2:28" ht="83.35" x14ac:dyDescent="0.8">
      <c r="B53" s="3">
        <v>2025</v>
      </c>
      <c r="C53" s="3" t="s">
        <v>76</v>
      </c>
      <c r="D53" s="3" t="s">
        <v>218</v>
      </c>
      <c r="E53" s="3" t="s">
        <v>231</v>
      </c>
      <c r="F53" s="3" t="s">
        <v>118</v>
      </c>
      <c r="G53" s="3" t="s">
        <v>110</v>
      </c>
      <c r="H53" s="3" t="s">
        <v>210</v>
      </c>
      <c r="I53" s="3" t="s">
        <v>214</v>
      </c>
      <c r="J53" s="3"/>
      <c r="K53" s="3" t="s">
        <v>227</v>
      </c>
      <c r="L53" s="3"/>
      <c r="M53" s="3"/>
      <c r="N53" s="3"/>
      <c r="O53" s="3" t="s">
        <v>216</v>
      </c>
      <c r="P53" s="3"/>
      <c r="Q53" s="3" t="s">
        <v>213</v>
      </c>
      <c r="R53" s="3"/>
      <c r="S53" s="3"/>
      <c r="T53" s="3" t="s">
        <v>142</v>
      </c>
      <c r="U53" s="3" t="s">
        <v>151</v>
      </c>
      <c r="V53" s="3" t="s">
        <v>163</v>
      </c>
      <c r="W53" s="3" t="s">
        <v>194</v>
      </c>
      <c r="X53" s="3"/>
      <c r="Y53" s="3" t="s">
        <v>211</v>
      </c>
      <c r="Z53" s="3"/>
      <c r="AB53" s="1"/>
    </row>
    <row r="54" spans="2:28" ht="100" x14ac:dyDescent="0.8">
      <c r="B54" s="3" t="s">
        <v>220</v>
      </c>
      <c r="C54" s="3"/>
      <c r="D54" s="3" t="s">
        <v>219</v>
      </c>
      <c r="E54" s="3" t="s">
        <v>230</v>
      </c>
      <c r="F54" s="3"/>
      <c r="G54" s="3"/>
      <c r="H54" s="3"/>
      <c r="I54" s="3" t="s">
        <v>215</v>
      </c>
      <c r="J54" s="3"/>
      <c r="K54" s="3" t="s">
        <v>226</v>
      </c>
      <c r="L54" s="3"/>
      <c r="M54" s="3"/>
      <c r="N54" s="3" t="s">
        <v>225</v>
      </c>
      <c r="O54" s="3" t="s">
        <v>217</v>
      </c>
      <c r="P54" s="3"/>
      <c r="Q54" s="3"/>
      <c r="R54" s="3"/>
      <c r="S54" s="3"/>
      <c r="T54" s="3"/>
      <c r="U54" s="3"/>
      <c r="V54" s="3"/>
      <c r="W54" s="3"/>
      <c r="X54" s="3"/>
      <c r="Y54" s="3" t="s">
        <v>212</v>
      </c>
      <c r="Z54" s="3"/>
      <c r="AB54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2025-11-18T16:52:23Z</dcterms:modified>
</cp:coreProperties>
</file>