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E01A2142-0922-4C89-B36E-51E608182D12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K2" i="1" a="1"/>
  <c r="K2" i="1" s="1"/>
  <c r="L2" i="1" a="1"/>
  <c r="L2" i="1" s="1"/>
  <c r="M2" i="1" a="1"/>
  <c r="M2" i="1" s="1"/>
  <c r="H2" i="1" a="1"/>
  <c r="H2" i="1" s="1"/>
  <c r="I2" i="1" a="1"/>
  <c r="I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D2" i="1" a="1"/>
  <c r="D2" i="1" s="1"/>
  <c r="E2" i="1" a="1"/>
  <c r="E2" i="1" s="1"/>
  <c r="F2" i="1" a="1"/>
  <c r="F2" i="1" s="1"/>
  <c r="G2" i="1" a="1"/>
  <c r="G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<sst xmlns="http://schemas.openxmlformats.org/spreadsheetml/2006/main" count="233" uniqueCount="230">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</sst>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6" xr3:uid="{D066356F-6174-4702-9379-264D5C000032}" name="マーベラス" dataDxfId="16"/>
    <tableColumn id="30" xr3:uid="{BB23C0DC-5AEB-431A-A828-4D1BDF4F315F}" name="JTO" dataDxfId="15"/>
    <tableColumn id="8" xr3:uid="{0D2ABC96-F0CF-44E9-912A-CA35E8452616}" name="Venus" dataDxfId="14"/>
    <tableColumn id="29" xr3:uid="{ADFF1D58-E918-4FF6-B352-AA98020CFD16}" name="チョコプロ" dataDxfId="13"/>
    <tableColumn id="32" xr3:uid="{67EA2433-E1D1-4094-BFB4-0EDB7438926B}" name="Pure-J" dataDxfId="12"/>
    <tableColumn id="23" xr3:uid="{9647ED0D-42FB-42C1-BFB2-8B8D56D414C4}" name="SENDAI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E56"/>
  <sheetViews>
    <sheetView tabSelected="1" zoomScale="55" zoomScaleNormal="55" workbookViewId="0">
      <pane xSplit="2" ySplit="4" topLeftCell="C37" activePane="bottomRight" state="frozen"/>
      <selection pane="topRight" activeCell="C1" sqref="C1"/>
      <selection pane="bottomLeft" activeCell="A5" sqref="A5"/>
      <selection pane="bottomRight" activeCell="W39" sqref="W39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27.71875" bestFit="1" customWidth="1"/>
    <col min="10" max="10" width="21.0546875" style="1" bestFit="1" customWidth="1"/>
    <col min="11" max="11" width="15.38671875" bestFit="1" customWidth="1"/>
    <col min="12" max="12" width="13.609375" style="1" bestFit="1" customWidth="1"/>
    <col min="13" max="13" width="13.5" style="1" bestFit="1" customWidth="1"/>
    <col min="14" max="15" width="17.44140625" bestFit="1" customWidth="1"/>
    <col min="16" max="16" width="13.609375" bestFit="1" customWidth="1"/>
    <col min="17" max="17" width="26.33203125" bestFit="1" customWidth="1"/>
    <col min="18" max="18" width="12.0546875" style="1" bestFit="1" customWidth="1"/>
    <col min="19" max="19" width="10.27734375" bestFit="1" customWidth="1"/>
    <col min="20" max="20" width="9.94140625" bestFit="1" customWidth="1"/>
    <col min="21" max="21" width="12" style="1" bestFit="1" customWidth="1"/>
    <col min="22" max="22" width="10.27734375" style="1" bestFit="1" customWidth="1"/>
    <col min="23" max="23" width="19.1640625" style="1" bestFit="1" customWidth="1"/>
    <col min="24" max="24" width="11.77734375" bestFit="1" customWidth="1"/>
    <col min="25" max="25" width="41.0546875" bestFit="1" customWidth="1"/>
    <col min="26" max="26" width="30.27734375" bestFit="1" customWidth="1"/>
    <col min="27" max="27" width="21.1640625" bestFit="1" customWidth="1"/>
    <col min="28" max="28" width="30.0546875" style="1" bestFit="1" customWidth="1"/>
    <col min="29" max="29" width="17" style="1" bestFit="1" customWidth="1"/>
    <col min="30" max="30" width="27.33203125" style="1"/>
    <col min="32" max="16384" width="27.33203125" style="1"/>
  </cols>
  <sheetData>
    <row r="1" spans="1:31" ht="16" x14ac:dyDescent="0.8">
      <c r="A1" s="1" t="s">
        <v>102</v>
      </c>
      <c r="F1" s="1"/>
      <c r="G1" s="1"/>
      <c r="I1" s="1"/>
      <c r="K1" s="1"/>
      <c r="N1" s="1"/>
      <c r="O1" s="1"/>
      <c r="P1" s="1"/>
      <c r="Q1" s="1"/>
      <c r="S1" s="1"/>
      <c r="T1" s="1"/>
      <c r="X1" s="1"/>
      <c r="Y1" s="1"/>
      <c r="Z1" s="1"/>
      <c r="AA1" s="1"/>
      <c r="AE1" s="1"/>
    </row>
    <row r="2" spans="1:31" ht="16" x14ac:dyDescent="0.8">
      <c r="B2" s="1">
        <f>SUM(C2:RY2)</f>
        <v>312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9</v>
      </c>
      <c r="O2" s="1" cm="1">
        <f t="array" ref="O2">SUMPRODUCT(
  IF(LEN(P5:P1001)=0, 0,
     LEN(P5:P1001) - LEN(SUBSTITUTE(P5:P1001, CHAR(10), "")) + 1
  )
)</f>
        <v>7</v>
      </c>
      <c r="P2" s="1" cm="1">
        <f t="array" ref="P2">SUMPRODUCT(
  IF(LEN(Q5:Q1001)=0, 0,
     LEN(Q5:Q1001) - LEN(SUBSTITUTE(Q5:Q1001, CHAR(10), "")) + 1
  )
)</f>
        <v>6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IF(LEN(Y5:Y1001)=0, 0,
     LEN(Y5:Y1001) - LEN(SUBSTITUTE(Y5:Y1001, CHAR(10), "")) + 1
  )
)</f>
        <v>50</v>
      </c>
      <c r="X2" s="1" cm="1">
        <f t="array" ref="X2">SUMPRODUCT(
  IF(LEN(Z5:Z1001)=0, 0,
     LEN(Z5:Z1001) - LEN(SUBSTITUTE(Z5:Z1001, CHAR(10), "")) + 1
  )
)</f>
        <v>0</v>
      </c>
      <c r="Y2" s="1" cm="1">
        <f t="array" ref="Y2">SUMPRODUCT(
  IF(LEN(AA5:AA1001)=0, 0,
     LEN(AA5:AA1001) - LEN(SUBSTITUTE(AA5:AA1001, CHAR(10), "")) + 1
  )
)</f>
        <v>0</v>
      </c>
      <c r="Z2" s="1"/>
      <c r="AA2" s="1"/>
      <c r="AE2" s="1"/>
    </row>
    <row r="3" spans="1:31" ht="16" x14ac:dyDescent="0.8">
      <c r="F3" s="1"/>
      <c r="G3" s="1"/>
      <c r="I3" s="1"/>
      <c r="K3" s="1"/>
      <c r="N3" s="1"/>
      <c r="O3" s="1"/>
      <c r="P3" s="1"/>
      <c r="Q3" s="1"/>
      <c r="S3" s="1"/>
      <c r="T3" s="1"/>
      <c r="X3" s="1"/>
      <c r="Y3" s="1"/>
      <c r="Z3" s="1"/>
      <c r="AA3" s="1"/>
      <c r="AE3" s="1"/>
    </row>
    <row r="4" spans="1:31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76</v>
      </c>
      <c r="H4" s="2" t="s">
        <v>17</v>
      </c>
      <c r="I4" s="2" t="s">
        <v>8</v>
      </c>
      <c r="J4" s="2" t="s">
        <v>47</v>
      </c>
      <c r="K4" s="2" t="s">
        <v>189</v>
      </c>
      <c r="L4" s="2" t="s">
        <v>56</v>
      </c>
      <c r="M4" s="2" t="s">
        <v>86</v>
      </c>
      <c r="N4" s="2" t="s">
        <v>50</v>
      </c>
      <c r="O4" s="2" t="s">
        <v>177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120</v>
      </c>
      <c r="U4" s="2" t="s">
        <v>129</v>
      </c>
      <c r="V4" s="2" t="s">
        <v>151</v>
      </c>
      <c r="W4" s="2" t="s">
        <v>92</v>
      </c>
      <c r="X4" s="2" t="s">
        <v>35</v>
      </c>
      <c r="Y4" s="2" t="s">
        <v>10</v>
      </c>
      <c r="Z4" s="1"/>
      <c r="AA4" s="1"/>
      <c r="AE4" s="1"/>
    </row>
    <row r="5" spans="1:31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A5" s="1"/>
      <c r="AE5" s="1"/>
    </row>
    <row r="6" spans="1:31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A6" s="1"/>
      <c r="AE6" s="1"/>
    </row>
    <row r="7" spans="1:31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A7" s="1"/>
      <c r="AE7" s="1"/>
    </row>
    <row r="8" spans="1:31" ht="16.7" x14ac:dyDescent="0.8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A8" s="1"/>
      <c r="AE8" s="1"/>
    </row>
    <row r="9" spans="1:31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A9" s="1"/>
      <c r="AE9" s="1"/>
    </row>
    <row r="10" spans="1:31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A10" s="1"/>
      <c r="AE10" s="1"/>
    </row>
    <row r="11" spans="1:31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A11" s="1"/>
      <c r="AE11" s="1"/>
    </row>
    <row r="12" spans="1:31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A12" s="1"/>
      <c r="AE12" s="1"/>
    </row>
    <row r="13" spans="1:31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119</v>
      </c>
      <c r="Y13" s="3"/>
      <c r="Z13" s="1"/>
      <c r="AA13" s="1"/>
      <c r="AE13" s="1"/>
    </row>
    <row r="14" spans="1:31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A14" s="1"/>
      <c r="AE14" s="1"/>
    </row>
    <row r="15" spans="1:31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104</v>
      </c>
      <c r="Z15" s="1"/>
      <c r="AA15" s="1"/>
      <c r="AE15" s="1"/>
    </row>
    <row r="16" spans="1:31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A16" s="1"/>
      <c r="AE16" s="1"/>
    </row>
    <row r="17" spans="2:31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127</v>
      </c>
      <c r="Y17" s="3" t="s">
        <v>126</v>
      </c>
      <c r="Z17" s="1"/>
      <c r="AA17" s="1"/>
      <c r="AE17" s="1"/>
    </row>
    <row r="18" spans="2:31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A18" s="1"/>
      <c r="AE18" s="1"/>
    </row>
    <row r="19" spans="2:31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A19" s="1"/>
      <c r="AE19" s="1"/>
    </row>
    <row r="20" spans="2:31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A20" s="1"/>
      <c r="AE20" s="1"/>
    </row>
    <row r="21" spans="2:31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A21" s="1"/>
      <c r="AE21" s="1"/>
    </row>
    <row r="22" spans="2:31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A22" s="1"/>
      <c r="AE22" s="1"/>
    </row>
    <row r="23" spans="2:31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175</v>
      </c>
      <c r="Y23" s="3" t="s">
        <v>63</v>
      </c>
      <c r="Z23" s="1"/>
      <c r="AA23" s="1"/>
      <c r="AE23" s="1"/>
    </row>
    <row r="24" spans="2:31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174</v>
      </c>
      <c r="Z24" s="1"/>
      <c r="AA24" s="1"/>
      <c r="AE24" s="1"/>
    </row>
    <row r="25" spans="2:31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80</v>
      </c>
      <c r="Z25" s="1"/>
      <c r="AA25" s="1"/>
      <c r="AE25" s="1"/>
    </row>
    <row r="26" spans="2:31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77</v>
      </c>
      <c r="Y26" s="3" t="s">
        <v>32</v>
      </c>
      <c r="Z26" s="1"/>
      <c r="AA26" s="1"/>
      <c r="AE26" s="1"/>
    </row>
    <row r="27" spans="2:31" ht="33.35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78</v>
      </c>
      <c r="Y27" s="3"/>
      <c r="Z27" s="1"/>
      <c r="AA27" s="1"/>
      <c r="AE27" s="1"/>
    </row>
    <row r="28" spans="2:31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82</v>
      </c>
      <c r="Z28" s="1"/>
      <c r="AA28" s="1"/>
      <c r="AE28" s="1"/>
    </row>
    <row r="29" spans="2:31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A29" s="1"/>
      <c r="AE29" s="1"/>
    </row>
    <row r="30" spans="2:31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81</v>
      </c>
      <c r="Y30" s="3"/>
      <c r="Z30" s="1"/>
      <c r="AA30" s="1"/>
      <c r="AE30" s="1"/>
    </row>
    <row r="31" spans="2:31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A31" s="1"/>
      <c r="AE31" s="1"/>
    </row>
    <row r="32" spans="2:31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79</v>
      </c>
      <c r="Z32" s="1"/>
      <c r="AA32" s="1"/>
      <c r="AE32" s="1"/>
    </row>
    <row r="33" spans="2:31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85</v>
      </c>
      <c r="T33" s="3"/>
      <c r="U33" s="3"/>
      <c r="V33" s="3"/>
      <c r="W33" s="3"/>
      <c r="X33" s="3" t="s">
        <v>138</v>
      </c>
      <c r="Y33" s="3"/>
      <c r="Z33" s="1"/>
      <c r="AA33" s="1"/>
      <c r="AE33" s="1"/>
    </row>
    <row r="34" spans="2:31" ht="66.7" x14ac:dyDescent="0.8">
      <c r="B34" s="3">
        <v>2006</v>
      </c>
      <c r="C34" s="3"/>
      <c r="D34" s="3"/>
      <c r="E34" s="3"/>
      <c r="F34" s="3"/>
      <c r="G34" s="3" t="s">
        <v>164</v>
      </c>
      <c r="H34" s="3"/>
      <c r="I34" s="3"/>
      <c r="J34" s="3"/>
      <c r="K34" s="3" t="s">
        <v>164</v>
      </c>
      <c r="L34" s="3"/>
      <c r="M34" s="3" t="s">
        <v>89</v>
      </c>
      <c r="N34" s="3" t="s">
        <v>51</v>
      </c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105</v>
      </c>
      <c r="Z34" s="1"/>
      <c r="AA34" s="1"/>
      <c r="AE34" s="1"/>
    </row>
    <row r="35" spans="2:31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93</v>
      </c>
      <c r="X35" s="3"/>
      <c r="Y35" s="3" t="s">
        <v>139</v>
      </c>
      <c r="Z35" s="1"/>
      <c r="AA35" s="1"/>
      <c r="AE35" s="1"/>
    </row>
    <row r="36" spans="2:31" ht="33.35" x14ac:dyDescent="0.8">
      <c r="B36" s="3">
        <v>2008</v>
      </c>
      <c r="C36" s="3" t="s">
        <v>165</v>
      </c>
      <c r="D36" s="3"/>
      <c r="E36" s="3"/>
      <c r="F36" s="3"/>
      <c r="G36" s="3" t="s">
        <v>205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206</v>
      </c>
      <c r="Z36" s="1"/>
      <c r="AA36" s="1"/>
      <c r="AE36" s="1"/>
    </row>
    <row r="37" spans="2:31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A37" s="1"/>
      <c r="AE37" s="1"/>
    </row>
    <row r="38" spans="2:31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68</v>
      </c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83</v>
      </c>
      <c r="Y38" s="3"/>
      <c r="Z38" s="1"/>
      <c r="AA38" s="1"/>
      <c r="AE38" s="1"/>
    </row>
    <row r="39" spans="2:31" ht="33.35" x14ac:dyDescent="0.8">
      <c r="B39" s="3">
        <v>2011</v>
      </c>
      <c r="C39" s="3" t="s">
        <v>195</v>
      </c>
      <c r="D39" s="3"/>
      <c r="E39" s="3"/>
      <c r="F39" s="3" t="s">
        <v>115</v>
      </c>
      <c r="G39" s="3" t="s">
        <v>101</v>
      </c>
      <c r="H39" s="3"/>
      <c r="I39" s="3"/>
      <c r="J39" s="3"/>
      <c r="K39" s="3"/>
      <c r="L39" s="3"/>
      <c r="M39" s="3"/>
      <c r="N39" s="3" t="s">
        <v>103</v>
      </c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/>
      <c r="Y39" s="3" t="s">
        <v>141</v>
      </c>
      <c r="Z39" s="1"/>
      <c r="AA39" s="1"/>
      <c r="AE39" s="1"/>
    </row>
    <row r="40" spans="2:31" ht="33.35" x14ac:dyDescent="0.8">
      <c r="B40" s="3">
        <v>2012</v>
      </c>
      <c r="C40" s="3" t="s">
        <v>135</v>
      </c>
      <c r="D40" s="3" t="s">
        <v>158</v>
      </c>
      <c r="E40" s="3" t="s">
        <v>41</v>
      </c>
      <c r="F40" s="3" t="s">
        <v>114</v>
      </c>
      <c r="G40" s="3"/>
      <c r="H40" s="3"/>
      <c r="I40" s="3" t="s">
        <v>1</v>
      </c>
      <c r="J40" s="3"/>
      <c r="K40" s="3"/>
      <c r="L40" s="3"/>
      <c r="M40" s="3" t="s">
        <v>90</v>
      </c>
      <c r="N40" s="3"/>
      <c r="O40" s="3"/>
      <c r="P40" s="3"/>
      <c r="Q40" s="3"/>
      <c r="R40" s="3"/>
      <c r="S40" s="3"/>
      <c r="T40" s="3"/>
      <c r="U40" s="3"/>
      <c r="V40" s="3"/>
      <c r="W40" s="3" t="s">
        <v>94</v>
      </c>
      <c r="X40" s="3" t="s">
        <v>199</v>
      </c>
      <c r="Y40" s="3"/>
      <c r="Z40" s="1"/>
      <c r="AA40" s="1"/>
      <c r="AE40" s="1"/>
    </row>
    <row r="41" spans="2:31" ht="100" x14ac:dyDescent="0.8">
      <c r="B41" s="3">
        <v>2013</v>
      </c>
      <c r="C41" s="3" t="s">
        <v>224</v>
      </c>
      <c r="D41" s="3"/>
      <c r="E41" s="3" t="s">
        <v>145</v>
      </c>
      <c r="F41" s="3"/>
      <c r="G41" s="3" t="s">
        <v>176</v>
      </c>
      <c r="H41" s="3"/>
      <c r="I41" s="3"/>
      <c r="J41" s="3"/>
      <c r="K41" s="3" t="s">
        <v>176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97</v>
      </c>
      <c r="X41" s="3" t="s">
        <v>144</v>
      </c>
      <c r="Y41" s="3" t="s">
        <v>223</v>
      </c>
      <c r="Z41" s="1"/>
      <c r="AA41" s="1"/>
      <c r="AE41" s="1"/>
    </row>
    <row r="42" spans="2:31" ht="50" x14ac:dyDescent="0.8">
      <c r="B42" s="3">
        <v>2014</v>
      </c>
      <c r="C42" s="3" t="s">
        <v>173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134</v>
      </c>
      <c r="Y42" s="3" t="s">
        <v>200</v>
      </c>
      <c r="Z42" s="1"/>
      <c r="AA42" s="1"/>
      <c r="AE42" s="1"/>
    </row>
    <row r="43" spans="2:31" ht="66.7" x14ac:dyDescent="0.8">
      <c r="B43" s="3">
        <v>2015</v>
      </c>
      <c r="C43" s="3" t="s">
        <v>198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/>
      <c r="W43" s="3" t="s">
        <v>95</v>
      </c>
      <c r="X43" s="3"/>
      <c r="Y43" s="3" t="s">
        <v>149</v>
      </c>
      <c r="Z43" s="1"/>
      <c r="AA43" s="1"/>
      <c r="AE43" s="1"/>
    </row>
    <row r="44" spans="2:31" ht="50" x14ac:dyDescent="0.8">
      <c r="B44" s="3">
        <v>2016</v>
      </c>
      <c r="C44" s="3" t="s">
        <v>197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118</v>
      </c>
      <c r="Y44" s="3" t="s">
        <v>196</v>
      </c>
      <c r="Z44" s="1"/>
      <c r="AA44" s="1"/>
      <c r="AE44" s="1"/>
    </row>
    <row r="45" spans="2:31" ht="66.7" x14ac:dyDescent="0.8">
      <c r="B45" s="3">
        <v>2017</v>
      </c>
      <c r="C45" s="3" t="s">
        <v>202</v>
      </c>
      <c r="D45" s="3"/>
      <c r="E45" s="3"/>
      <c r="F45" s="3" t="s">
        <v>12</v>
      </c>
      <c r="G45" s="3" t="s">
        <v>100</v>
      </c>
      <c r="H45" s="3" t="s">
        <v>125</v>
      </c>
      <c r="I45" s="3"/>
      <c r="J45" s="3"/>
      <c r="K45" s="3"/>
      <c r="L45" s="3"/>
      <c r="M45" s="3"/>
      <c r="N45" s="3" t="s">
        <v>117</v>
      </c>
      <c r="O45" s="3"/>
      <c r="P45" s="3" t="s">
        <v>201</v>
      </c>
      <c r="Q45" s="3"/>
      <c r="R45" s="3"/>
      <c r="S45" s="3"/>
      <c r="T45" s="3" t="s">
        <v>121</v>
      </c>
      <c r="U45" s="3"/>
      <c r="V45" s="3"/>
      <c r="W45" s="3" t="s">
        <v>108</v>
      </c>
      <c r="X45" s="3" t="s">
        <v>136</v>
      </c>
      <c r="Y45" s="3" t="s">
        <v>116</v>
      </c>
      <c r="Z45" s="1"/>
      <c r="AA45" s="1"/>
      <c r="AE45" s="1"/>
    </row>
    <row r="46" spans="2:31" ht="200" x14ac:dyDescent="0.8">
      <c r="B46" s="3">
        <v>2018</v>
      </c>
      <c r="C46" s="3" t="s">
        <v>184</v>
      </c>
      <c r="D46" s="3" t="s">
        <v>157</v>
      </c>
      <c r="E46" s="3" t="s">
        <v>146</v>
      </c>
      <c r="F46" s="3" t="s">
        <v>14</v>
      </c>
      <c r="G46" s="3"/>
      <c r="H46" s="3"/>
      <c r="I46" s="3" t="s">
        <v>29</v>
      </c>
      <c r="J46" s="3"/>
      <c r="K46" s="3"/>
      <c r="L46" s="3" t="s">
        <v>69</v>
      </c>
      <c r="M46" s="3" t="s">
        <v>226</v>
      </c>
      <c r="N46" s="3"/>
      <c r="O46" s="3"/>
      <c r="P46" s="3"/>
      <c r="Q46" s="3"/>
      <c r="R46" s="3" t="s">
        <v>65</v>
      </c>
      <c r="S46" s="3"/>
      <c r="T46" s="3" t="s">
        <v>122</v>
      </c>
      <c r="U46" s="3"/>
      <c r="V46" s="3"/>
      <c r="W46" s="3" t="s">
        <v>96</v>
      </c>
      <c r="X46" s="3" t="s">
        <v>212</v>
      </c>
      <c r="Y46" s="3" t="s">
        <v>137</v>
      </c>
      <c r="Z46" s="1"/>
      <c r="AA46" s="1"/>
      <c r="AE46" s="1"/>
    </row>
    <row r="47" spans="2:31" ht="100" x14ac:dyDescent="0.8">
      <c r="B47" s="3">
        <v>2019</v>
      </c>
      <c r="C47" s="3" t="s">
        <v>182</v>
      </c>
      <c r="D47" s="3"/>
      <c r="E47" s="3" t="s">
        <v>43</v>
      </c>
      <c r="F47" s="3"/>
      <c r="G47" s="3" t="s">
        <v>99</v>
      </c>
      <c r="H47" s="3" t="s">
        <v>23</v>
      </c>
      <c r="I47" s="3"/>
      <c r="J47" s="3" t="s">
        <v>188</v>
      </c>
      <c r="K47" s="3"/>
      <c r="L47" s="3" t="s">
        <v>70</v>
      </c>
      <c r="M47" s="3" t="s">
        <v>111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/>
      <c r="X47" s="3" t="s">
        <v>159</v>
      </c>
      <c r="Y47" s="3" t="s">
        <v>211</v>
      </c>
      <c r="Z47" s="1"/>
      <c r="AA47" s="1"/>
      <c r="AE47" s="1"/>
    </row>
    <row r="48" spans="2:31" ht="66.7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91</v>
      </c>
      <c r="N48" s="3"/>
      <c r="O48" s="3"/>
      <c r="P48" s="3"/>
      <c r="Q48" s="3"/>
      <c r="R48" s="3"/>
      <c r="S48" s="3" t="s">
        <v>84</v>
      </c>
      <c r="T48" s="3"/>
      <c r="U48" s="3"/>
      <c r="V48" s="3"/>
      <c r="W48" s="3"/>
      <c r="X48" s="3" t="s">
        <v>208</v>
      </c>
      <c r="Y48" s="3" t="s">
        <v>207</v>
      </c>
      <c r="Z48" s="1"/>
      <c r="AA48" s="1"/>
      <c r="AE48" s="1"/>
    </row>
    <row r="49" spans="2:31" ht="116.7" x14ac:dyDescent="0.8">
      <c r="B49" s="3">
        <v>2021</v>
      </c>
      <c r="C49" s="3" t="s">
        <v>49</v>
      </c>
      <c r="D49" s="3" t="s">
        <v>204</v>
      </c>
      <c r="E49" s="3" t="s">
        <v>225</v>
      </c>
      <c r="F49" s="3" t="s">
        <v>11</v>
      </c>
      <c r="G49" s="3" t="s">
        <v>229</v>
      </c>
      <c r="H49" s="3"/>
      <c r="I49" s="3" t="s">
        <v>28</v>
      </c>
      <c r="J49" s="3" t="s">
        <v>74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154</v>
      </c>
      <c r="W49" s="3"/>
      <c r="X49" s="3" t="s">
        <v>152</v>
      </c>
      <c r="Y49" s="3"/>
      <c r="Z49" s="1"/>
      <c r="AA49" s="1"/>
      <c r="AE49" s="1"/>
    </row>
    <row r="50" spans="2:31" ht="133.35" x14ac:dyDescent="0.8">
      <c r="B50" s="3">
        <v>2022</v>
      </c>
      <c r="C50" s="3" t="s">
        <v>193</v>
      </c>
      <c r="D50" s="3" t="s">
        <v>150</v>
      </c>
      <c r="E50" s="3" t="s">
        <v>39</v>
      </c>
      <c r="F50" s="3" t="s">
        <v>148</v>
      </c>
      <c r="G50" s="3" t="s">
        <v>162</v>
      </c>
      <c r="H50" s="3" t="s">
        <v>22</v>
      </c>
      <c r="I50" s="3"/>
      <c r="J50" s="3" t="s">
        <v>73</v>
      </c>
      <c r="K50" s="3" t="s">
        <v>163</v>
      </c>
      <c r="L50" s="3" t="s">
        <v>71</v>
      </c>
      <c r="M50" s="3"/>
      <c r="N50" s="3"/>
      <c r="O50" s="3" t="s">
        <v>180</v>
      </c>
      <c r="P50" s="3"/>
      <c r="Q50" s="3"/>
      <c r="R50" s="3"/>
      <c r="S50" s="3"/>
      <c r="T50" s="3"/>
      <c r="U50" s="3"/>
      <c r="V50" s="3" t="s">
        <v>155</v>
      </c>
      <c r="W50" s="3"/>
      <c r="X50" s="3" t="s">
        <v>153</v>
      </c>
      <c r="Y50" s="3" t="s">
        <v>179</v>
      </c>
      <c r="Z50" s="1"/>
      <c r="AA50" s="1"/>
      <c r="AE50" s="1"/>
    </row>
    <row r="51" spans="2:31" ht="100" x14ac:dyDescent="0.8">
      <c r="B51" s="3">
        <v>2023</v>
      </c>
      <c r="C51" s="3" t="s">
        <v>25</v>
      </c>
      <c r="D51" s="3" t="s">
        <v>187</v>
      </c>
      <c r="E51" s="3" t="s">
        <v>107</v>
      </c>
      <c r="F51" s="3" t="s">
        <v>203</v>
      </c>
      <c r="G51" s="3" t="s">
        <v>186</v>
      </c>
      <c r="H51" s="3" t="s">
        <v>112</v>
      </c>
      <c r="I51" s="3"/>
      <c r="J51" s="3" t="s">
        <v>48</v>
      </c>
      <c r="K51" s="3"/>
      <c r="L51" s="3" t="s">
        <v>72</v>
      </c>
      <c r="M51" s="3"/>
      <c r="N51" s="3" t="s">
        <v>147</v>
      </c>
      <c r="O51" s="3" t="s">
        <v>113</v>
      </c>
      <c r="P51" s="3" t="s">
        <v>128</v>
      </c>
      <c r="Q51" s="3"/>
      <c r="R51" s="3" t="s">
        <v>140</v>
      </c>
      <c r="S51" s="3"/>
      <c r="T51" s="3"/>
      <c r="U51" s="3" t="s">
        <v>131</v>
      </c>
      <c r="V51" s="3" t="s">
        <v>156</v>
      </c>
      <c r="W51" s="3"/>
      <c r="X51" s="3" t="s">
        <v>213</v>
      </c>
      <c r="Y51" s="3" t="s">
        <v>142</v>
      </c>
      <c r="Z51" s="1"/>
      <c r="AA51" s="1"/>
      <c r="AE51" s="1"/>
    </row>
    <row r="52" spans="2:31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133</v>
      </c>
      <c r="G52" s="3" t="s">
        <v>160</v>
      </c>
      <c r="H52" s="3" t="s">
        <v>166</v>
      </c>
      <c r="I52" s="3" t="s">
        <v>109</v>
      </c>
      <c r="J52" s="3" t="s">
        <v>75</v>
      </c>
      <c r="K52" s="3" t="s">
        <v>161</v>
      </c>
      <c r="L52" s="3" t="s">
        <v>227</v>
      </c>
      <c r="M52" s="3" t="s">
        <v>110</v>
      </c>
      <c r="N52" s="3"/>
      <c r="O52" s="3" t="s">
        <v>178</v>
      </c>
      <c r="P52" s="3"/>
      <c r="Q52" s="3" t="s">
        <v>60</v>
      </c>
      <c r="R52" s="3"/>
      <c r="S52" s="3"/>
      <c r="T52" s="3" t="s">
        <v>124</v>
      </c>
      <c r="U52" s="3" t="s">
        <v>130</v>
      </c>
      <c r="V52" s="3"/>
      <c r="W52" s="3"/>
      <c r="X52" s="3" t="s">
        <v>143</v>
      </c>
      <c r="Y52" s="3"/>
      <c r="Z52" s="1"/>
      <c r="AA52" s="1"/>
      <c r="AE52" s="1"/>
    </row>
    <row r="53" spans="2:31" ht="250" x14ac:dyDescent="0.8">
      <c r="B53" s="3">
        <v>2025</v>
      </c>
      <c r="C53" s="3" t="s">
        <v>194</v>
      </c>
      <c r="D53" s="3" t="s">
        <v>215</v>
      </c>
      <c r="E53" s="3" t="s">
        <v>171</v>
      </c>
      <c r="F53" s="3" t="s">
        <v>106</v>
      </c>
      <c r="G53" s="3" t="s">
        <v>98</v>
      </c>
      <c r="H53" s="3" t="s">
        <v>167</v>
      </c>
      <c r="I53" s="3"/>
      <c r="J53" s="3" t="s">
        <v>221</v>
      </c>
      <c r="K53" s="3" t="s">
        <v>183</v>
      </c>
      <c r="L53" s="3"/>
      <c r="M53" s="3"/>
      <c r="N53" s="3"/>
      <c r="O53" s="3" t="s">
        <v>181</v>
      </c>
      <c r="P53" s="3" t="s">
        <v>192</v>
      </c>
      <c r="Q53" s="3" t="s">
        <v>168</v>
      </c>
      <c r="R53" s="3"/>
      <c r="S53" s="3"/>
      <c r="T53" s="3" t="s">
        <v>123</v>
      </c>
      <c r="U53" s="3" t="s">
        <v>132</v>
      </c>
      <c r="V53" s="3" t="s">
        <v>185</v>
      </c>
      <c r="W53" s="3"/>
      <c r="X53" s="3" t="s">
        <v>214</v>
      </c>
      <c r="Y53" s="3"/>
      <c r="Z53" s="1"/>
      <c r="AA53" s="1"/>
      <c r="AE53" s="1"/>
    </row>
    <row r="54" spans="2:31" ht="50" x14ac:dyDescent="0.8">
      <c r="B54" s="3">
        <v>2026</v>
      </c>
      <c r="C54" s="3"/>
      <c r="D54" s="3"/>
      <c r="E54" s="3" t="s">
        <v>191</v>
      </c>
      <c r="F54" s="3" t="s">
        <v>218</v>
      </c>
      <c r="G54" s="3"/>
      <c r="H54" s="3"/>
      <c r="I54" s="3"/>
      <c r="J54" s="3"/>
      <c r="K54" s="3" t="s">
        <v>190</v>
      </c>
      <c r="L54" s="3"/>
      <c r="M54" s="3" t="s">
        <v>217</v>
      </c>
      <c r="N54" s="3"/>
      <c r="O54" s="3"/>
      <c r="P54" s="3"/>
      <c r="Q54" s="3" t="s">
        <v>210</v>
      </c>
      <c r="R54" s="3"/>
      <c r="S54" s="3"/>
      <c r="T54" s="3"/>
      <c r="U54" s="3"/>
      <c r="V54" s="3"/>
      <c r="W54" s="3"/>
      <c r="X54" s="3" t="s">
        <v>209</v>
      </c>
      <c r="Y54" s="3"/>
      <c r="Z54" s="1"/>
      <c r="AA54" s="1"/>
      <c r="AE54" s="1"/>
    </row>
    <row r="55" spans="2:31" ht="200" x14ac:dyDescent="0.8">
      <c r="B55" s="3" t="s">
        <v>172</v>
      </c>
      <c r="C55" s="3"/>
      <c r="D55" s="3" t="s">
        <v>216</v>
      </c>
      <c r="E55" s="3" t="s">
        <v>220</v>
      </c>
      <c r="F55" s="3"/>
      <c r="G55" s="3"/>
      <c r="H55" s="3"/>
      <c r="I55" s="3" t="s">
        <v>228</v>
      </c>
      <c r="J55" s="3" t="s">
        <v>169</v>
      </c>
      <c r="K55" s="3" t="s">
        <v>219</v>
      </c>
      <c r="L55" s="3"/>
      <c r="M55" s="3"/>
      <c r="N55" s="3"/>
      <c r="O55" s="3"/>
      <c r="P55" s="3" t="s">
        <v>170</v>
      </c>
      <c r="Q55" s="3"/>
      <c r="R55" s="3"/>
      <c r="S55" s="3"/>
      <c r="T55" s="3"/>
      <c r="U55" s="3"/>
      <c r="V55" s="3"/>
      <c r="W55" s="3"/>
      <c r="X55" s="3" t="s">
        <v>222</v>
      </c>
      <c r="Y55" s="3"/>
      <c r="Z55" s="1"/>
      <c r="AA55" s="1"/>
      <c r="AE55" s="1"/>
    </row>
    <row r="56" spans="2:31" x14ac:dyDescent="0.8">
      <c r="B56" s="3"/>
      <c r="C56" s="3"/>
      <c r="D56" s="3"/>
      <c r="E56" s="3"/>
      <c r="F56" s="3"/>
      <c r="G56" s="3"/>
      <c r="H56" s="3"/>
      <c r="I56" s="3" t="s">
        <v>102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A56" s="1"/>
      <c r="AC56"/>
      <c r="AE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2026-03-28T14:28:08Z</dcterms:modified>
</cp:coreProperties>
</file>