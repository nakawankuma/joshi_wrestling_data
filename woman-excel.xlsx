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09B0B2B-26D3-4935-B98F-D1C551B0F25A}" xr6:coauthVersionLast="47" xr6:coauthVersionMax="47" xr10:uidLastSave="{00000000-0000-0000-0000-000000000000}"/>
  <bookViews>
    <workbookView xWindow="5447" yWindow="30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 a="1"/>
  <c r="Y2" i="1" s="1"/>
  <c r="Z2" i="1" a="1"/>
  <c r="Z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<sst xmlns="http://schemas.openxmlformats.org/spreadsheetml/2006/main" count="225" uniqueCount="224">
  <si>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</si>
  <si>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</si>
  <si>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</si>
  <si>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</si>
  <si>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</si>
  <si>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</si>
  <si>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</si>
  <si>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</si>
  <si>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</si>
  <si>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</si>
  <si>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</si>
  <si>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</si>
  <si>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</si>
  <si>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</si>
  <si>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</si>
  <si>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</si>
  <si>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</si>
  <si>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</si>
  <si>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</si>
  <si>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</si>
  <si>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</si>
  <si>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</si>
  <si>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</si>
  <si>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</si>
  <si>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</si>
  <si>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</si>
  <si>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</si>
  <si>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</si>
  <si>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</si>
  <si>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</si>
  <si>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</si>
  <si>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</si>
  <si>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</si>
  <si>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</si>
  <si>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</si>
  <si>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</si>
  <si>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</si>
  <si>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</si>
  <si>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</si>
  <si>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</si>
  <si>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</si>
  <si>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</si>
  <si>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</si>
  <si>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</si>
  <si>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</si>
  <si>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</si>
  <si>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</si>
  <si>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</si>
  <si>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</si>
  <si>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</si>
  <si>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</si>
  <si>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</si>
  <si>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</si>
  <si>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</si>
  <si>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</si>
  <si>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</si>
  <si>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</si>
  <si>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</si>
  <si>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</si>
  <si>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</si>
  <si>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</si>
  <si>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</si>
  <si>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</si>
  <si>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</si>
  <si>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</si>
  <si>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</si>
  <si>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</si>
  <si>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</si>
  <si>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</si>
  <si>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</si>
  <si>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</si>
  <si>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</si>
  <si>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</si>
  <si>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</si>
  <si>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</si>
  <si>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</si>
  <si>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</si>
  <si>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</si>
  <si>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</si>
  <si>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</si>
  <si>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</si>
  <si>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</si>
  <si>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</si>
  <si>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</si>
  <si>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</si>
  <si>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</si>
  <si>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</si>
  <si>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</si>
  <si>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</si>
  <si>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</si>
  <si>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</si>
  <si>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</si>
  <si>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</si>
  <si>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</si>
  <si>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</si>
  <si>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</si>
  <si>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</si>
  <si>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</si>
  <si>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</si>
  <si>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</si>
  <si>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</si>
  <si>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</si>
  <si>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</si>
  <si>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</si>
  <si>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</si>
  <si>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</si>
  <si>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</si>
  <si>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</si>
  <si>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</si>
  <si>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</si>
  <si>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</si>
  <si>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</si>
  <si>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</si>
  <si>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</si>
  <si>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</si>
  <si>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</si>
  <si>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</si>
  <si>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</si>
  <si>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</si>
  <si>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</si>
  <si>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</si>
  <si>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</si>
  <si>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</si>
  <si>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</si>
  <si>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</si>
  <si>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</si>
  <si>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</si>
  <si>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</si>
  <si>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</si>
  <si>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</si>
  <si>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</si>
  <si>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</si>
  <si>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</si>
  <si>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根本楓花（プロテスト合格）</t>
    <rPh sb="10" eb="12">
      <t>ゴウカク</t>
    </rPh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</si>
  <si>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</si>
  <si>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</si>
  <si>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</si>
  <si>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</si>
  <si>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</si>
  <si>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</si>
  <si>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</si>
  <si>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</si>
  <si>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</si>
  <si>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</si>
  <si>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</si>
  <si>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風南ユキ
望天セレネ
&lt;せいな&gt;</t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</si>
  <si>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</si>
  <si>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</si>
  <si>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</si>
  <si>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</si>
  <si>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</si>
  <si>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</si>
  <si>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</si>
  <si>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</si>
  <si>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</si>
  <si>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</si>
  <si>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</si>
  <si>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</si>
  <si>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</si>
  <si>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わかな
&lt;彩夢&gt;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</si>
  <si>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</si>
  <si>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</si>
  <si>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</si>
  <si>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</si>
  <si>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</si>
  <si>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</si>
  <si>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</si>
  <si>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</si>
  <si>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</si>
  <si>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</si>
  <si>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</si>
  <si>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</si>
  <si>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</si>
  <si>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</si>
  <si>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</si>
  <si>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</si>
  <si>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</si>
  <si>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</si>
  <si>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</si>
  <si>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</si>
  <si>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</si>
  <si>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</si>
  <si>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</si>
  <si>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小夏れん
&lt;シオン&gt;仮
&lt;アンリ&gt;仮
&lt;ユウカ&gt;仮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</si>
  <si>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</si>
  <si>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</si>
  <si>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</si>
  <si>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</si>
  <si>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</si>
  <si>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</si>
  <si>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</si>
  <si>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</si>
  <si>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</si>
  <si>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</si>
  <si>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</si>
  <si>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</si>
  <si>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梨央
弥福かな
&lt;ゴんべ&gt;
&lt;摩利乃&gt;
&lt;小谷さつき&gt;</t>
    <rPh sb="0" eb="2">
      <t>リオ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</si>
  <si>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</si>
  <si>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</si>
  <si>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</si>
  <si>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</si>
  <si>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苺畑ひより(666)
横井真菜(REINA)
&lt;堀このみ&gt;(ZeroOne)
タギリヒメ真夢(九州女子プロレス)
彩月悠叶(2AW)</t>
    <rPh sb="24" eb="25">
      <t>ホリ</t>
    </rPh>
    <rPh sb="47" eb="49">
      <t>キュウシュウ</t>
    </rPh>
    <rPh sb="49" eb="51">
      <t>ジョシ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</si>
  <si>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</si>
  <si>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</si>
  <si>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</si>
  <si>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</si>
  <si>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</si>
  <si>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</si>
  <si>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</si>
  <si>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</si>
  <si>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</si>
  <si>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</si>
  <si>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ホルスタイン・エンジュ
ラブリカ・ヒナーノ
枢夜 佐季
&lt;Y&gt;</t>
    <rPh sb="22" eb="23">
      <t>クルル</t>
    </rPh>
    <rPh sb="23" eb="24">
      <t>ヨ</t>
    </rPh>
    <rPh sb="25" eb="27">
      <t>サキ</t>
    </rPh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</si>
  <si>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</si>
  <si>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</si>
  <si>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</si>
  <si>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</si>
  <si>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</si>
  <si>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&lt;希咲みなみ&gt;
&lt;ひな&gt;
&lt;髙橋光咲&gt;
&lt;伊田惟吹&gt;
&lt;優華&gt;
&lt;松橋ななを&gt;
&lt;当麻煌&gt;
&lt;直江ミう&gt;</t>
    <rPh sb="1" eb="3">
      <t>キサキ</t>
    </rPh>
    <rPh sb="14" eb="16">
      <t>タカハシ</t>
    </rPh>
    <rPh sb="16" eb="18">
      <t>ミサキ</t>
    </rPh>
    <rPh sb="21" eb="23">
      <t>イダ</t>
    </rPh>
    <rPh sb="23" eb="24">
      <t>ノブ</t>
    </rPh>
    <rPh sb="24" eb="25">
      <t>スイ</t>
    </rPh>
    <rPh sb="28" eb="29">
      <t>ユウ</t>
    </rPh>
    <rPh sb="29" eb="30">
      <t>ハナ</t>
    </rPh>
    <rPh sb="33" eb="35">
      <t>マツハシ</t>
    </rPh>
    <rPh sb="41" eb="43">
      <t>トウマ</t>
    </rPh>
    <rPh sb="47" eb="49">
      <t>ナオエ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</si>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</sst>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0"/>
    <tableColumn id="30" xr3:uid="{BB23C0DC-5AEB-431A-A828-4D1BDF4F315F}" name="JTO" dataDxfId="18"/>
    <tableColumn id="29" xr3:uid="{ADFF1D58-E918-4FF6-B352-AA98020CFD16}" name="チョコプロ" dataDxfId="17"/>
    <tableColumn id="8" xr3:uid="{0D2ABC96-F0CF-44E9-912A-CA35E8452616}" name="Venus(1.4旗揚げ)" dataDxfId="1"/>
    <tableColumn id="23" xr3:uid="{9647ED0D-42FB-42C1-BFB2-8B8D56D414C4}" name="SENDAI" dataDxfId="16"/>
    <tableColumn id="32" xr3:uid="{67EA2433-E1D1-4094-BFB4-0EDB7438926B}" name="Pure-J" dataDxfId="15"/>
    <tableColumn id="21" xr3:uid="{ACF43FBE-31D7-4ED6-A997-E4AF4BF0B9D4}" name="マーベラス" dataDxfId="14"/>
    <tableColumn id="28" xr3:uid="{8FEFA60F-BAF5-466B-B569-8C96F8534AF7}" name="シード" dataDxfId="13"/>
    <tableColumn id="20" xr3:uid="{86389032-6123-44BF-98AB-D3CA13F2577A}" name="LLPW-X" dataDxfId="12"/>
    <tableColumn id="34" xr3:uid="{C9FDFCD5-EB7A-4498-855C-DD4AF6E60734}" name="2.5(11.24～なにわ女子)" dataDxfId="11"/>
    <tableColumn id="26" xr3:uid="{73103D07-0C18-49E4-833A-41ADC2D3DE61}" name="Wave" dataDxfId="10"/>
    <tableColumn id="9" xr3:uid="{11B98A53-6EA8-44AD-B33B-82B313F30661}" name="ガンプロ" dataDxfId="9"/>
    <tableColumn id="4" xr3:uid="{DDF38F40-8A77-4C8C-A9E5-47A29D5A7C86}" name="柳ヶ瀬" dataDxfId="8"/>
    <tableColumn id="5" xr3:uid="{3CAB629B-BA9F-4560-89E7-0980EE2B0905}" name="エボリューション" dataDxfId="7"/>
    <tableColumn id="6" xr3:uid="{5C631C06-2946-4CE3-901A-57A0BABE156F}" name="BBJ" dataDxfId="6"/>
    <tableColumn id="7" xr3:uid="{F6B1BCBE-A702-4B7C-9B81-2600AE026FEA}" name="PPP" dataDxfId="5"/>
    <tableColumn id="33" xr3:uid="{56EE63D7-2296-4070-86B8-49B5D171AF20}" name="海外" dataDxfId="4"/>
    <tableColumn id="15" xr3:uid="{50B4283E-4FFA-4BD0-B17F-8B3414F0E4D2}" name="その他" dataDxfId="3"/>
    <tableColumn id="14" xr3:uid="{CE5E3F3B-FB92-45D8-AA5E-A154DC9761D3}" name="フリー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A54"/>
  <sheetViews>
    <sheetView tabSelected="1" zoomScale="55" zoomScaleNormal="5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K12" sqref="K12"/>
    </sheetView>
  </sheetViews>
  <sheetFormatPr defaultColWidth="47.77734375" defaultRowHeight="18" x14ac:dyDescent="0.8"/>
  <cols>
    <col min="1" max="1" width="1.5546875" style="1" bestFit="1" customWidth="1"/>
    <col min="2" max="2" width="12.33203125" style="1" bestFit="1" customWidth="1"/>
    <col min="3" max="3" width="18.21875" style="1" bestFit="1" customWidth="1"/>
    <col min="4" max="4" width="12.83203125" style="1" bestFit="1" customWidth="1"/>
    <col min="5" max="5" width="18" style="1" bestFit="1" customWidth="1"/>
    <col min="6" max="6" width="20.27734375" bestFit="1" customWidth="1"/>
    <col min="7" max="7" width="20.27734375" style="1" bestFit="1" customWidth="1"/>
    <col min="8" max="8" width="12.0546875" style="1" bestFit="1" customWidth="1"/>
    <col min="9" max="9" width="17.33203125" style="1" bestFit="1" customWidth="1"/>
    <col min="10" max="10" width="13.609375" style="1" bestFit="1" customWidth="1"/>
    <col min="11" max="11" width="19.94140625" bestFit="1" customWidth="1"/>
    <col min="12" max="12" width="20.44140625" bestFit="1" customWidth="1"/>
    <col min="13" max="13" width="12.609375" bestFit="1" customWidth="1"/>
    <col min="14" max="14" width="24.77734375" bestFit="1" customWidth="1"/>
    <col min="15" max="15" width="19" style="1" bestFit="1" customWidth="1"/>
    <col min="16" max="16" width="10.94140625" style="1" bestFit="1" customWidth="1"/>
    <col min="17" max="17" width="23.5546875" style="1" bestFit="1" customWidth="1"/>
    <col min="18" max="18" width="9.44140625" style="1" bestFit="1" customWidth="1"/>
    <col min="19" max="19" width="10.83203125" style="1" bestFit="1" customWidth="1"/>
    <col min="20" max="21" width="18.21875" bestFit="1" customWidth="1"/>
    <col min="22" max="22" width="11.1640625" bestFit="1" customWidth="1"/>
    <col min="23" max="23" width="9" bestFit="1" customWidth="1"/>
    <col min="24" max="24" width="17.609375" style="1" bestFit="1" customWidth="1"/>
    <col min="25" max="25" width="17.609375" style="1" customWidth="1"/>
    <col min="26" max="26" width="10.83203125" style="1" bestFit="1" customWidth="1"/>
    <col min="27" max="27" width="12" bestFit="1" customWidth="1"/>
    <col min="28" max="28" width="29.1640625" style="1" bestFit="1" customWidth="1"/>
    <col min="29" max="29" width="19.1640625" style="1" bestFit="1" customWidth="1"/>
    <col min="30" max="30" width="19.1640625" style="1" customWidth="1"/>
    <col min="31" max="31" width="21.94140625" style="1" bestFit="1" customWidth="1"/>
    <col min="32" max="32" width="21.27734375" style="1" bestFit="1" customWidth="1"/>
    <col min="33" max="33" width="14" style="1" bestFit="1" customWidth="1"/>
    <col min="34" max="34" width="21.6640625" style="1" bestFit="1" customWidth="1"/>
    <col min="35" max="35" width="20.5546875" style="1" bestFit="1" customWidth="1"/>
    <col min="36" max="16384" width="47.77734375" style="1"/>
  </cols>
  <sheetData>
    <row r="1" spans="1:27" ht="16" x14ac:dyDescent="0.8">
      <c r="A1" s="1" t="s">
        <v>118</v>
      </c>
      <c r="F1" s="1"/>
      <c r="K1" s="1"/>
      <c r="L1" s="1"/>
      <c r="M1" s="1"/>
      <c r="N1" s="1"/>
      <c r="T1" s="1"/>
      <c r="U1" s="1"/>
      <c r="V1" s="1"/>
      <c r="W1" s="1"/>
      <c r="AA1" s="1"/>
    </row>
    <row r="2" spans="1:27" ht="16" x14ac:dyDescent="0.8">
      <c r="B2" s="1">
        <f>SUM(C2:RZ2)</f>
        <v>362</v>
      </c>
      <c r="C2" s="1" cm="1">
        <f t="array" ref="C2">SUMPRODUCT(
  IF(LEN(C5:C1000)=0, 0,
     LEN(C5:C1000) - LEN(SUBSTITUTE(C5:C1000, CHAR(10), "")) + 1
  )
)</f>
        <v>44</v>
      </c>
      <c r="D2" s="1" cm="1">
        <f t="array" ref="D2">SUMPRODUCT(
  IF(LEN(D5:D1000)=0, 0,
     LEN(D5:D1000) - LEN(SUBSTITUTE(D5:D1000, CHAR(10), "")) + 1
  )
)</f>
        <v>30</v>
      </c>
      <c r="E2" s="1" cm="1">
        <f t="array" ref="E2">SUMPRODUCT(
  IF(LEN(E5:E1000)=0, 0,
     LEN(E5:E1000) - LEN(SUBSTITUTE(E5:E1000, CHAR(10), "")) + 1
  )
)</f>
        <v>29</v>
      </c>
      <c r="F2" s="1" cm="1">
        <f t="array" ref="F2">SUMPRODUCT(
  IF(LEN(F5:F1000)=0, 0,
     LEN(F5:F1000) - LEN(SUBSTITUTE(F5:F1000, CHAR(10), "")) + 1
  )
)</f>
        <v>22</v>
      </c>
      <c r="G2" s="1" cm="1">
        <f t="array" ref="G2">SUMPRODUCT(
  IF(LEN(G5:G1000)=0, 0,
     LEN(G5:G1000) - LEN(SUBSTITUTE(G5:G1000, CHAR(10), "")) + 1
  )
)</f>
        <v>18</v>
      </c>
      <c r="H2" s="1" cm="1">
        <f t="array" ref="H2">SUMPRODUCT(
  IF(LEN(H5:H1000)=0, 0,
     LEN(H5:H1000) - LEN(SUBSTITUTE(H5:H1000, CHAR(10), "")) + 1
  )
)</f>
        <v>13</v>
      </c>
      <c r="I2" s="1" cm="1">
        <f t="array" ref="I2">SUMPRODUCT(
  IF(LEN(I5:I1000)=0, 0,
     LEN(I5:I1000) - LEN(SUBSTITUTE(I5:I1000, CHAR(10), "")) + 1
  )
)</f>
        <v>12</v>
      </c>
      <c r="J2" s="1" cm="1">
        <f t="array" ref="J2">SUMPRODUCT(
  IF(LEN(J5:J1000)=0, 0,
     LEN(J5:J1000) - LEN(SUBSTITUTE(J5:J1000, CHAR(10), "")) + 1
  )
)</f>
        <v>11</v>
      </c>
      <c r="K2" s="1" cm="1">
        <f t="array" ref="K2">SUMPRODUCT(
  IF(LEN(K5:K1000)=0, 0,
     LEN(K5:K1000) - LEN(SUBSTITUTE(K5:K1000, CHAR(10), "")) + 1
  )
)</f>
        <v>11</v>
      </c>
      <c r="L2" s="1" cm="1">
        <f t="array" ref="L2">SUMPRODUCT(
  IF(LEN(L5:L1000)=0, 0,
     LEN(L5:L1000) - LEN(SUBSTITUTE(L5:L1000, CHAR(10), "")) + 1
  )
)</f>
        <v>10</v>
      </c>
      <c r="M2" s="1" cm="1">
        <f t="array" ref="M2">SUMPRODUCT(
  IF(LEN(M5:M1000)=0, 0,
     LEN(M5:M1000) - LEN(SUBSTITUTE(M5:M1000, CHAR(10), "")) + 1
  )
)</f>
        <v>9</v>
      </c>
      <c r="N2" s="1" cm="1">
        <f t="array" ref="N2">SUMPRODUCT(
  IF(LEN(N5:N1000)=0, 0,
     LEN(N5:N1000) - LEN(SUBSTITUTE(N5:N1000, CHAR(10), "")) + 1
  )
)</f>
        <v>9</v>
      </c>
      <c r="O2" s="1" cm="1">
        <f t="array" ref="O2">SUMPRODUCT(
  IF(LEN(O5:O1000)=0, 0,
     LEN(O5:O1000) - LEN(SUBSTITUTE(O5:O1000, CHAR(10), "")) + 1
  )
)</f>
        <v>6</v>
      </c>
      <c r="P2" s="1" cm="1">
        <f t="array" ref="P2">SUMPRODUCT(
  IF(LEN(P5:P1000)=0, 0,
     LEN(P5:P1000) - LEN(SUBSTITUTE(P5:P1000, CHAR(10), "")) + 1
  )
)</f>
        <v>6</v>
      </c>
      <c r="Q2" s="1" cm="1">
        <f t="array" ref="Q2">SUMPRODUCT(
  IF(LEN(Q5:Q1000)=0, 0,
     LEN(Q5:Q1000) - LEN(SUBSTITUTE(Q5:Q1000, CHAR(10), "")) + 1
  )
)</f>
        <v>6</v>
      </c>
      <c r="R2" s="1" cm="1">
        <f t="array" ref="R2">SUMPRODUCT(
  IF(LEN(R5:R1000)=0, 0,
     LEN(R5:R1000) - LEN(SUBSTITUTE(R5:R1000, CHAR(10), "")) + 1
  )
)</f>
        <v>5</v>
      </c>
      <c r="S2" s="1" cm="1">
        <f t="array" ref="S2">SUMPRODUCT(
  IF(LEN(S5:S1000)=0, 0,
     LEN(S5:S1000) - LEN(SUBSTITUTE(S5:S1000, CHAR(10), "")) + 1
  )
)</f>
        <v>4</v>
      </c>
      <c r="T2" s="1" cm="1">
        <f t="array" ref="T2">SUMPRODUCT(
  IF(LEN(T5:T1000)=0, 0,
     LEN(T5:T1000) - LEN(SUBSTITUTE(T5:T1000, CHAR(10), "")) + 1
  )
)</f>
        <v>4</v>
      </c>
      <c r="U2" s="1" cm="1">
        <f t="array" ref="U2">SUMPRODUCT(
  IF(LEN(U5:U1000)=0, 0,
     LEN(U5:U1000) - LEN(SUBSTITUTE(U5:U1000, CHAR(10), "")) + 1
  )
)</f>
        <v>4</v>
      </c>
      <c r="V2" s="1" cm="1">
        <f t="array" ref="V2">SUMPRODUCT(
  IF(LEN(V5:V1000)=0, 0,
     LEN(V5:V1000) - LEN(SUBSTITUTE(V5:V1000, CHAR(10), "")) + 1
  )
)</f>
        <v>4</v>
      </c>
      <c r="W2" s="1" cm="1">
        <f t="array" ref="W2">SUMPRODUCT(
  IF(LEN(W5:W1000)=0, 0,
     LEN(W5:W1000) - LEN(SUBSTITUTE(W5:W1000, CHAR(10), "")) + 1
  )
)</f>
        <v>4</v>
      </c>
      <c r="X2" s="1" cm="1">
        <f t="array" ref="X2">SUMPRODUCT(
  IF(LEN(X5:X1000)=0, 0,
     LEN(X5:X1000) - LEN(SUBSTITUTE(X5:X1000, CHAR(10), "")) + 1
  )
)</f>
        <v>8</v>
      </c>
      <c r="Y2" s="1" cm="1">
        <f t="array" ref="Y2">SUMPRODUCT(
  IF(LEN(Y5:Y1000)=0, 0,
     LEN(Y5:Y1000) - LEN(SUBSTITUTE(Y5:Y1000, CHAR(10), "")) + 1
  )
)</f>
        <v>43</v>
      </c>
      <c r="Z2" s="1" cm="1">
        <f t="array" ref="Z2">SUMPRODUCT(
  IF(LEN(Z5:Z1000)=0, 0,
     LEN(Z5:Z1000) - LEN(SUBSTITUTE(Z5:Z1000, CHAR(10), "")) + 1
  )
)</f>
        <v>50</v>
      </c>
      <c r="AA2" s="1"/>
    </row>
    <row r="3" spans="1:27" ht="16" x14ac:dyDescent="0.8">
      <c r="F3" s="1"/>
      <c r="K3" s="1"/>
      <c r="L3" s="1"/>
      <c r="M3" s="1"/>
      <c r="N3" s="1"/>
      <c r="T3" s="1"/>
      <c r="U3" s="1"/>
      <c r="V3" s="1"/>
      <c r="W3" s="1"/>
      <c r="AA3" s="1"/>
    </row>
    <row r="4" spans="1:27" ht="16.7" x14ac:dyDescent="0.8">
      <c r="B4" s="2" t="s">
        <v>7</v>
      </c>
      <c r="C4" s="2" t="s">
        <v>0</v>
      </c>
      <c r="D4" s="2" t="s">
        <v>40</v>
      </c>
      <c r="E4" s="2" t="s">
        <v>5</v>
      </c>
      <c r="F4" s="2" t="s">
        <v>3</v>
      </c>
      <c r="G4" s="2" t="s">
        <v>91</v>
      </c>
      <c r="H4" s="2" t="s">
        <v>19</v>
      </c>
      <c r="I4" s="2" t="s">
        <v>53</v>
      </c>
      <c r="J4" s="2" t="s">
        <v>63</v>
      </c>
      <c r="K4" s="2" t="s">
        <v>219</v>
      </c>
      <c r="L4" s="2" t="s">
        <v>57</v>
      </c>
      <c r="M4" s="2" t="s">
        <v>101</v>
      </c>
      <c r="N4" s="2" t="s">
        <v>9</v>
      </c>
      <c r="O4" s="2" t="s">
        <v>4</v>
      </c>
      <c r="P4" s="2" t="s">
        <v>21</v>
      </c>
      <c r="Q4" s="2" t="s">
        <v>182</v>
      </c>
      <c r="R4" s="2" t="s">
        <v>29</v>
      </c>
      <c r="S4" s="2" t="s">
        <v>8</v>
      </c>
      <c r="T4" s="2" t="s">
        <v>146</v>
      </c>
      <c r="U4" s="2" t="s">
        <v>155</v>
      </c>
      <c r="V4" s="2" t="s">
        <v>170</v>
      </c>
      <c r="W4" s="2" t="s">
        <v>197</v>
      </c>
      <c r="X4" s="2" t="s">
        <v>108</v>
      </c>
      <c r="Y4" s="2" t="s">
        <v>39</v>
      </c>
      <c r="Z4" s="2" t="s">
        <v>11</v>
      </c>
      <c r="AA4" s="1"/>
    </row>
    <row r="5" spans="1:27" ht="16.7" x14ac:dyDescent="0.8">
      <c r="B5" s="3">
        <v>1977</v>
      </c>
      <c r="C5" s="3"/>
      <c r="D5" s="3"/>
      <c r="E5" s="3"/>
      <c r="F5" s="3"/>
      <c r="G5" s="3"/>
      <c r="H5" s="3" t="s">
        <v>10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1"/>
    </row>
    <row r="6" spans="1:27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1"/>
    </row>
    <row r="7" spans="1:27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1"/>
    </row>
    <row r="8" spans="1:27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34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33</v>
      </c>
      <c r="AA8" s="1"/>
    </row>
    <row r="9" spans="1:27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1"/>
    </row>
    <row r="10" spans="1:27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1"/>
    </row>
    <row r="11" spans="1:27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1"/>
    </row>
    <row r="12" spans="1:27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"/>
    </row>
    <row r="13" spans="1:27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144</v>
      </c>
      <c r="Z13" s="3"/>
      <c r="AA13" s="1"/>
    </row>
    <row r="14" spans="1:27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22</v>
      </c>
      <c r="Q14" s="3"/>
      <c r="R14" s="3"/>
      <c r="S14" s="3"/>
      <c r="T14" s="3"/>
      <c r="U14" s="3"/>
      <c r="V14" s="3"/>
      <c r="W14" s="3"/>
      <c r="X14" s="3"/>
      <c r="Y14" s="3" t="s">
        <v>69</v>
      </c>
      <c r="Z14" s="3" t="s">
        <v>17</v>
      </c>
      <c r="AA14" s="1"/>
    </row>
    <row r="15" spans="1:27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120</v>
      </c>
      <c r="AA15" s="1"/>
    </row>
    <row r="16" spans="1:27" ht="16.7" x14ac:dyDescent="0.8">
      <c r="B16" s="3">
        <v>1988</v>
      </c>
      <c r="C16" s="3"/>
      <c r="D16" s="3"/>
      <c r="E16" s="3"/>
      <c r="F16" s="3"/>
      <c r="G16" s="3"/>
      <c r="H16" s="3" t="s">
        <v>18</v>
      </c>
      <c r="I16" s="3"/>
      <c r="J16" s="3"/>
      <c r="K16" s="3"/>
      <c r="L16" s="3"/>
      <c r="M16" s="3"/>
      <c r="N16" s="3"/>
      <c r="O16" s="3"/>
      <c r="P16" s="3" t="s">
        <v>20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1"/>
    </row>
    <row r="17" spans="2:27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153</v>
      </c>
      <c r="Z17" s="3" t="s">
        <v>152</v>
      </c>
      <c r="AA17" s="1"/>
    </row>
    <row r="18" spans="2:27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1"/>
    </row>
    <row r="19" spans="2:27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1"/>
    </row>
    <row r="20" spans="2:27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1"/>
    </row>
    <row r="21" spans="2:27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1"/>
    </row>
    <row r="22" spans="2:27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1"/>
    </row>
    <row r="23" spans="2:27" ht="66.7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64</v>
      </c>
      <c r="K23" s="3"/>
      <c r="L23" s="3"/>
      <c r="M23" s="3"/>
      <c r="N23" s="3"/>
      <c r="O23" s="3"/>
      <c r="P23" s="3"/>
      <c r="Q23" s="3"/>
      <c r="R23" s="3" t="s">
        <v>162</v>
      </c>
      <c r="S23" s="3"/>
      <c r="T23" s="3"/>
      <c r="U23" s="3"/>
      <c r="V23" s="3"/>
      <c r="W23" s="3"/>
      <c r="X23" s="3"/>
      <c r="Y23" s="3" t="s">
        <v>161</v>
      </c>
      <c r="Z23" s="3" t="s">
        <v>70</v>
      </c>
      <c r="AA23" s="1"/>
    </row>
    <row r="24" spans="2:27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35</v>
      </c>
      <c r="AA24" s="1"/>
    </row>
    <row r="25" spans="2:27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102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95</v>
      </c>
      <c r="AA25" s="1"/>
    </row>
    <row r="26" spans="2:27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92</v>
      </c>
      <c r="Z26" s="3" t="s">
        <v>36</v>
      </c>
      <c r="AA26" s="1"/>
    </row>
    <row r="27" spans="2:27" ht="16.7" x14ac:dyDescent="0.8">
      <c r="B27" s="3">
        <v>1999</v>
      </c>
      <c r="C27" s="3" t="s">
        <v>51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93</v>
      </c>
      <c r="Z27" s="3"/>
      <c r="AA27" s="1"/>
    </row>
    <row r="28" spans="2:27" ht="33.35" x14ac:dyDescent="0.8">
      <c r="B28" s="3">
        <v>2000</v>
      </c>
      <c r="C28" s="3"/>
      <c r="D28" s="3"/>
      <c r="E28" s="3" t="s">
        <v>37</v>
      </c>
      <c r="F28" s="3"/>
      <c r="G28" s="3"/>
      <c r="H28" s="3"/>
      <c r="I28" s="3"/>
      <c r="J28" s="3"/>
      <c r="K28" s="3"/>
      <c r="L28" s="3"/>
      <c r="M28" s="3" t="s">
        <v>103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97</v>
      </c>
      <c r="AA28" s="1"/>
    </row>
    <row r="29" spans="2:27" ht="16.7" x14ac:dyDescent="0.8">
      <c r="B29" s="3">
        <v>2001</v>
      </c>
      <c r="C29" s="3"/>
      <c r="D29" s="3"/>
      <c r="E29" s="3"/>
      <c r="F29" s="3"/>
      <c r="G29" s="3"/>
      <c r="H29" s="3" t="s">
        <v>24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72</v>
      </c>
      <c r="S29" s="3"/>
      <c r="T29" s="3"/>
      <c r="U29" s="3"/>
      <c r="V29" s="3"/>
      <c r="W29" s="3"/>
      <c r="X29" s="3"/>
      <c r="Y29" s="3"/>
      <c r="Z29" s="3"/>
      <c r="AA29" s="1"/>
    </row>
    <row r="30" spans="2:27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96</v>
      </c>
      <c r="Z30" s="3"/>
      <c r="AA30" s="1"/>
    </row>
    <row r="31" spans="2:27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1"/>
    </row>
    <row r="32" spans="2:27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66</v>
      </c>
      <c r="Z32" s="3" t="s">
        <v>94</v>
      </c>
      <c r="AA32" s="1"/>
    </row>
    <row r="33" spans="2:27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100</v>
      </c>
      <c r="T33" s="3"/>
      <c r="U33" s="3"/>
      <c r="V33" s="3"/>
      <c r="W33" s="3"/>
      <c r="X33" s="3"/>
      <c r="Y33" s="3" t="s">
        <v>177</v>
      </c>
      <c r="Z33" s="3"/>
      <c r="AA33" s="1"/>
    </row>
    <row r="34" spans="2:27" ht="66.7" x14ac:dyDescent="0.8">
      <c r="B34" s="3">
        <v>2006</v>
      </c>
      <c r="C34" s="3"/>
      <c r="D34" s="3"/>
      <c r="E34" s="3"/>
      <c r="F34" s="3"/>
      <c r="G34" s="3" t="s">
        <v>217</v>
      </c>
      <c r="H34" s="3"/>
      <c r="I34" s="3"/>
      <c r="J34" s="3"/>
      <c r="K34" s="3" t="s">
        <v>217</v>
      </c>
      <c r="L34" s="3" t="s">
        <v>58</v>
      </c>
      <c r="M34" s="3" t="s">
        <v>104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62</v>
      </c>
      <c r="Y34" s="3"/>
      <c r="Z34" s="3" t="s">
        <v>121</v>
      </c>
      <c r="AA34" s="1"/>
    </row>
    <row r="35" spans="2:27" ht="66.7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109</v>
      </c>
      <c r="Y35" s="3"/>
      <c r="Z35" s="3" t="s">
        <v>178</v>
      </c>
      <c r="AA35" s="1"/>
    </row>
    <row r="36" spans="2:27" ht="50" x14ac:dyDescent="0.8">
      <c r="B36" s="3">
        <v>2008</v>
      </c>
      <c r="C36" s="3" t="s">
        <v>220</v>
      </c>
      <c r="D36" s="3"/>
      <c r="E36" s="3"/>
      <c r="F36" s="3"/>
      <c r="G36" s="3" t="s">
        <v>136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61</v>
      </c>
      <c r="Y36" s="3"/>
      <c r="Z36" s="3" t="s">
        <v>71</v>
      </c>
      <c r="AA36" s="1"/>
    </row>
    <row r="37" spans="2:27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65</v>
      </c>
      <c r="Z37" s="3"/>
      <c r="AA37" s="1"/>
    </row>
    <row r="38" spans="2:27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81</v>
      </c>
      <c r="K38" s="3"/>
      <c r="L38" s="3"/>
      <c r="M38" s="3"/>
      <c r="N38" s="3"/>
      <c r="O38" s="3" t="s">
        <v>41</v>
      </c>
      <c r="P38" s="3"/>
      <c r="Q38" s="3"/>
      <c r="R38" s="3"/>
      <c r="S38" s="3"/>
      <c r="T38" s="3"/>
      <c r="U38" s="3"/>
      <c r="V38" s="3"/>
      <c r="W38" s="3"/>
      <c r="X38" s="3"/>
      <c r="Y38" s="3" t="s">
        <v>98</v>
      </c>
      <c r="Z38" s="3"/>
      <c r="AA38" s="1"/>
    </row>
    <row r="39" spans="2:27" ht="50" x14ac:dyDescent="0.8">
      <c r="B39" s="3">
        <v>2011</v>
      </c>
      <c r="C39" s="3" t="s">
        <v>76</v>
      </c>
      <c r="D39" s="3"/>
      <c r="E39" s="3"/>
      <c r="F39" s="3" t="s">
        <v>138</v>
      </c>
      <c r="G39" s="3" t="s">
        <v>117</v>
      </c>
      <c r="H39" s="3"/>
      <c r="I39" s="3"/>
      <c r="J39" s="3"/>
      <c r="K39" s="3"/>
      <c r="L39" s="3" t="s">
        <v>119</v>
      </c>
      <c r="M39" s="3"/>
      <c r="N39" s="3"/>
      <c r="O39" s="3"/>
      <c r="P39" s="3"/>
      <c r="Q39" s="3"/>
      <c r="R39" s="3"/>
      <c r="S39" s="3" t="s">
        <v>42</v>
      </c>
      <c r="T39" s="3"/>
      <c r="U39" s="3"/>
      <c r="V39" s="3"/>
      <c r="W39" s="3"/>
      <c r="X39" s="3" t="s">
        <v>110</v>
      </c>
      <c r="Y39" s="3"/>
      <c r="Z39" s="3" t="s">
        <v>180</v>
      </c>
      <c r="AA39" s="1"/>
    </row>
    <row r="40" spans="2:27" ht="66.7" x14ac:dyDescent="0.8">
      <c r="B40" s="3">
        <v>2012</v>
      </c>
      <c r="C40" s="3" t="s">
        <v>168</v>
      </c>
      <c r="D40" s="3" t="s">
        <v>45</v>
      </c>
      <c r="E40" s="3" t="s">
        <v>208</v>
      </c>
      <c r="F40" s="3" t="s">
        <v>137</v>
      </c>
      <c r="G40" s="3"/>
      <c r="H40" s="3"/>
      <c r="I40" s="3"/>
      <c r="J40" s="3"/>
      <c r="K40" s="3"/>
      <c r="L40" s="3"/>
      <c r="M40" s="3" t="s">
        <v>105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163</v>
      </c>
      <c r="Z40" s="3"/>
      <c r="AA40" s="1"/>
    </row>
    <row r="41" spans="2:27" ht="100" x14ac:dyDescent="0.8">
      <c r="B41" s="3">
        <v>2013</v>
      </c>
      <c r="C41" s="3" t="s">
        <v>75</v>
      </c>
      <c r="D41" s="3" t="s">
        <v>188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113</v>
      </c>
      <c r="Y41" s="3" t="s">
        <v>185</v>
      </c>
      <c r="Z41" s="3" t="s">
        <v>187</v>
      </c>
      <c r="AA41" s="1"/>
    </row>
    <row r="42" spans="2:27" ht="33.35" x14ac:dyDescent="0.8">
      <c r="B42" s="3">
        <v>2014</v>
      </c>
      <c r="C42" s="3" t="s">
        <v>6</v>
      </c>
      <c r="D42" s="3" t="s">
        <v>47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167</v>
      </c>
      <c r="Z42" s="3" t="s">
        <v>125</v>
      </c>
      <c r="AA42" s="1"/>
    </row>
    <row r="43" spans="2:27" ht="66.7" x14ac:dyDescent="0.8">
      <c r="B43" s="3">
        <v>2015</v>
      </c>
      <c r="C43" s="3" t="s">
        <v>78</v>
      </c>
      <c r="D43" s="3" t="s">
        <v>44</v>
      </c>
      <c r="E43" s="3"/>
      <c r="F43" s="3"/>
      <c r="G43" s="3"/>
      <c r="H43" s="3"/>
      <c r="I43" s="3"/>
      <c r="J43" s="3"/>
      <c r="K43" s="3"/>
      <c r="L43" s="3" t="s">
        <v>59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111</v>
      </c>
      <c r="Y43" s="3"/>
      <c r="Z43" s="3" t="s">
        <v>193</v>
      </c>
      <c r="AA43" s="1"/>
    </row>
    <row r="44" spans="2:27" ht="50" x14ac:dyDescent="0.8">
      <c r="B44" s="3">
        <v>2016</v>
      </c>
      <c r="C44" s="3" t="s">
        <v>77</v>
      </c>
      <c r="D44" s="3"/>
      <c r="E44" s="3" t="s">
        <v>27</v>
      </c>
      <c r="F44" s="3"/>
      <c r="G44" s="3"/>
      <c r="H44" s="3"/>
      <c r="I44" s="3"/>
      <c r="J44" s="3"/>
      <c r="K44" s="3"/>
      <c r="L44" s="3" t="s">
        <v>160</v>
      </c>
      <c r="M44" s="3"/>
      <c r="N44" s="3" t="s">
        <v>30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143</v>
      </c>
      <c r="Z44" s="3" t="s">
        <v>127</v>
      </c>
      <c r="AA44" s="1"/>
    </row>
    <row r="45" spans="2:27" ht="50" x14ac:dyDescent="0.8">
      <c r="B45" s="3">
        <v>2017</v>
      </c>
      <c r="C45" s="3" t="s">
        <v>221</v>
      </c>
      <c r="D45" s="3"/>
      <c r="E45" s="3"/>
      <c r="F45" s="3" t="s">
        <v>13</v>
      </c>
      <c r="G45" s="3" t="s">
        <v>116</v>
      </c>
      <c r="H45" s="3" t="s">
        <v>151</v>
      </c>
      <c r="I45" s="3"/>
      <c r="J45" s="3"/>
      <c r="K45" s="3"/>
      <c r="L45" s="3" t="s">
        <v>140</v>
      </c>
      <c r="M45" s="3"/>
      <c r="N45" s="3"/>
      <c r="O45" s="3"/>
      <c r="P45" s="3" t="s">
        <v>23</v>
      </c>
      <c r="Q45" s="3"/>
      <c r="R45" s="3"/>
      <c r="S45" s="3"/>
      <c r="T45" s="3" t="s">
        <v>147</v>
      </c>
      <c r="U45" s="3"/>
      <c r="V45" s="3"/>
      <c r="W45" s="3"/>
      <c r="X45" s="3" t="s">
        <v>126</v>
      </c>
      <c r="Y45" s="3" t="s">
        <v>169</v>
      </c>
      <c r="Z45" s="3" t="s">
        <v>139</v>
      </c>
      <c r="AA45" s="1"/>
    </row>
    <row r="46" spans="2:27" ht="116.7" x14ac:dyDescent="0.8">
      <c r="B46" s="3">
        <v>2018</v>
      </c>
      <c r="C46" s="3" t="s">
        <v>142</v>
      </c>
      <c r="D46" s="3" t="s">
        <v>189</v>
      </c>
      <c r="E46" s="3" t="s">
        <v>207</v>
      </c>
      <c r="F46" s="3" t="s">
        <v>15</v>
      </c>
      <c r="G46" s="3"/>
      <c r="H46" s="3"/>
      <c r="I46" s="3"/>
      <c r="J46" s="3" t="s">
        <v>82</v>
      </c>
      <c r="K46" s="3"/>
      <c r="L46" s="3"/>
      <c r="M46" s="3" t="s">
        <v>106</v>
      </c>
      <c r="N46" s="3" t="s">
        <v>32</v>
      </c>
      <c r="O46" s="3"/>
      <c r="P46" s="3"/>
      <c r="Q46" s="3"/>
      <c r="R46" s="3" t="s">
        <v>73</v>
      </c>
      <c r="S46" s="3"/>
      <c r="T46" s="3" t="s">
        <v>148</v>
      </c>
      <c r="U46" s="3"/>
      <c r="V46" s="3" t="s">
        <v>174</v>
      </c>
      <c r="W46" s="3"/>
      <c r="X46" s="3" t="s">
        <v>112</v>
      </c>
      <c r="Y46" s="3" t="s">
        <v>175</v>
      </c>
      <c r="Z46" s="3" t="s">
        <v>176</v>
      </c>
      <c r="AA46" s="1"/>
    </row>
    <row r="47" spans="2:27" ht="83.35" x14ac:dyDescent="0.8">
      <c r="B47" s="3">
        <v>2019</v>
      </c>
      <c r="C47" s="3" t="s">
        <v>129</v>
      </c>
      <c r="D47" s="3" t="s">
        <v>48</v>
      </c>
      <c r="E47" s="3"/>
      <c r="F47" s="3"/>
      <c r="G47" s="3" t="s">
        <v>115</v>
      </c>
      <c r="H47" s="3" t="s">
        <v>26</v>
      </c>
      <c r="I47" s="3" t="s">
        <v>87</v>
      </c>
      <c r="J47" s="3" t="s">
        <v>83</v>
      </c>
      <c r="K47" s="3"/>
      <c r="L47" s="3" t="s">
        <v>60</v>
      </c>
      <c r="M47" s="3" t="s">
        <v>131</v>
      </c>
      <c r="N47" s="3"/>
      <c r="O47" s="3"/>
      <c r="P47" s="3"/>
      <c r="Q47" s="3"/>
      <c r="R47" s="3"/>
      <c r="S47" s="3"/>
      <c r="T47" s="3"/>
      <c r="U47" s="3"/>
      <c r="V47" s="3" t="s">
        <v>173</v>
      </c>
      <c r="W47" s="3"/>
      <c r="X47" s="3"/>
      <c r="Y47" s="3" t="s">
        <v>210</v>
      </c>
      <c r="Z47" s="3" t="s">
        <v>209</v>
      </c>
      <c r="AA47" s="1"/>
    </row>
    <row r="48" spans="2:27" ht="50" x14ac:dyDescent="0.8">
      <c r="B48" s="3">
        <v>2020</v>
      </c>
      <c r="C48" s="3" t="s">
        <v>52</v>
      </c>
      <c r="D48" s="3" t="s">
        <v>46</v>
      </c>
      <c r="E48" s="3"/>
      <c r="F48" s="3" t="s">
        <v>14</v>
      </c>
      <c r="G48" s="3"/>
      <c r="H48" s="3"/>
      <c r="I48" s="3"/>
      <c r="J48" s="3"/>
      <c r="K48" s="3"/>
      <c r="L48" s="3"/>
      <c r="M48" s="3" t="s">
        <v>107</v>
      </c>
      <c r="N48" s="3"/>
      <c r="O48" s="3"/>
      <c r="P48" s="3"/>
      <c r="Q48" s="3"/>
      <c r="R48" s="3"/>
      <c r="S48" s="3" t="s">
        <v>99</v>
      </c>
      <c r="T48" s="3"/>
      <c r="U48" s="3"/>
      <c r="V48" s="3"/>
      <c r="W48" s="3"/>
      <c r="X48" s="3"/>
      <c r="Y48" s="3" t="s">
        <v>141</v>
      </c>
      <c r="Z48" s="3" t="s">
        <v>165</v>
      </c>
      <c r="AA48" s="1"/>
    </row>
    <row r="49" spans="2:27" ht="100" x14ac:dyDescent="0.8">
      <c r="B49" s="3">
        <v>2021</v>
      </c>
      <c r="C49" s="3" t="s">
        <v>55</v>
      </c>
      <c r="D49" s="3" t="s">
        <v>50</v>
      </c>
      <c r="E49" s="3" t="s">
        <v>56</v>
      </c>
      <c r="F49" s="3" t="s">
        <v>12</v>
      </c>
      <c r="G49" s="3" t="s">
        <v>186</v>
      </c>
      <c r="H49" s="3"/>
      <c r="I49" s="3" t="s">
        <v>89</v>
      </c>
      <c r="J49" s="3"/>
      <c r="K49" s="3"/>
      <c r="L49" s="3"/>
      <c r="M49" s="3"/>
      <c r="N49" s="3" t="s">
        <v>31</v>
      </c>
      <c r="O49" s="3" t="s">
        <v>68</v>
      </c>
      <c r="P49" s="3"/>
      <c r="Q49" s="3"/>
      <c r="R49" s="3" t="s">
        <v>74</v>
      </c>
      <c r="S49" s="3"/>
      <c r="T49" s="3"/>
      <c r="U49" s="3"/>
      <c r="V49" s="3"/>
      <c r="W49" s="3" t="s">
        <v>202</v>
      </c>
      <c r="X49" s="3"/>
      <c r="Y49" s="3" t="s">
        <v>198</v>
      </c>
      <c r="Z49" s="3"/>
      <c r="AA49" s="1"/>
    </row>
    <row r="50" spans="2:27" ht="133.35" x14ac:dyDescent="0.8">
      <c r="B50" s="3">
        <v>2022</v>
      </c>
      <c r="C50" s="3" t="s">
        <v>211</v>
      </c>
      <c r="D50" s="3" t="s">
        <v>43</v>
      </c>
      <c r="E50" s="3" t="s">
        <v>194</v>
      </c>
      <c r="F50" s="3" t="s">
        <v>192</v>
      </c>
      <c r="G50" s="3" t="s">
        <v>215</v>
      </c>
      <c r="H50" s="3" t="s">
        <v>25</v>
      </c>
      <c r="I50" s="3" t="s">
        <v>88</v>
      </c>
      <c r="J50" s="3" t="s">
        <v>84</v>
      </c>
      <c r="K50" s="3" t="s">
        <v>216</v>
      </c>
      <c r="L50" s="3"/>
      <c r="M50" s="3"/>
      <c r="N50" s="3"/>
      <c r="O50" s="3"/>
      <c r="P50" s="3"/>
      <c r="Q50" s="3" t="s">
        <v>191</v>
      </c>
      <c r="R50" s="3"/>
      <c r="S50" s="3"/>
      <c r="T50" s="3"/>
      <c r="U50" s="3"/>
      <c r="V50" s="3"/>
      <c r="W50" s="3" t="s">
        <v>203</v>
      </c>
      <c r="X50" s="3"/>
      <c r="Y50" s="3" t="s">
        <v>199</v>
      </c>
      <c r="Z50" s="3" t="s">
        <v>195</v>
      </c>
      <c r="AA50" s="1"/>
    </row>
    <row r="51" spans="2:27" ht="100" x14ac:dyDescent="0.8">
      <c r="B51" s="3">
        <v>2023</v>
      </c>
      <c r="C51" s="3" t="s">
        <v>28</v>
      </c>
      <c r="D51" s="3" t="s">
        <v>124</v>
      </c>
      <c r="E51" s="3" t="s">
        <v>206</v>
      </c>
      <c r="F51" s="3" t="s">
        <v>16</v>
      </c>
      <c r="G51" s="3" t="s">
        <v>123</v>
      </c>
      <c r="H51" s="3" t="s">
        <v>132</v>
      </c>
      <c r="I51" s="3" t="s">
        <v>54</v>
      </c>
      <c r="J51" s="3" t="s">
        <v>85</v>
      </c>
      <c r="K51" s="3"/>
      <c r="L51" s="3" t="s">
        <v>190</v>
      </c>
      <c r="M51" s="3"/>
      <c r="N51" s="3"/>
      <c r="O51" s="3"/>
      <c r="P51" s="3" t="s">
        <v>154</v>
      </c>
      <c r="Q51" s="3" t="s">
        <v>134</v>
      </c>
      <c r="R51" s="3" t="s">
        <v>179</v>
      </c>
      <c r="S51" s="3"/>
      <c r="T51" s="3"/>
      <c r="U51" s="3" t="s">
        <v>157</v>
      </c>
      <c r="V51" s="3" t="s">
        <v>172</v>
      </c>
      <c r="W51" s="3" t="s">
        <v>204</v>
      </c>
      <c r="X51" s="3"/>
      <c r="Y51" s="3" t="s">
        <v>200</v>
      </c>
      <c r="Z51" s="3" t="s">
        <v>181</v>
      </c>
      <c r="AA51" s="1"/>
    </row>
    <row r="52" spans="2:27" ht="100" x14ac:dyDescent="0.8">
      <c r="B52" s="3">
        <v>2024</v>
      </c>
      <c r="C52" s="3" t="s">
        <v>80</v>
      </c>
      <c r="D52" s="3" t="s">
        <v>49</v>
      </c>
      <c r="E52" s="3" t="s">
        <v>38</v>
      </c>
      <c r="F52" s="3" t="s">
        <v>164</v>
      </c>
      <c r="G52" s="3" t="s">
        <v>213</v>
      </c>
      <c r="H52" s="3" t="s">
        <v>222</v>
      </c>
      <c r="I52" s="3" t="s">
        <v>90</v>
      </c>
      <c r="J52" s="3" t="s">
        <v>86</v>
      </c>
      <c r="K52" s="3" t="s">
        <v>214</v>
      </c>
      <c r="L52" s="3"/>
      <c r="M52" s="3" t="s">
        <v>130</v>
      </c>
      <c r="N52" s="3" t="s">
        <v>128</v>
      </c>
      <c r="O52" s="3" t="s">
        <v>67</v>
      </c>
      <c r="P52" s="3"/>
      <c r="Q52" s="3" t="s">
        <v>135</v>
      </c>
      <c r="R52" s="3"/>
      <c r="S52" s="3"/>
      <c r="T52" s="3" t="s">
        <v>150</v>
      </c>
      <c r="U52" s="3" t="s">
        <v>156</v>
      </c>
      <c r="V52" s="3"/>
      <c r="W52" s="3"/>
      <c r="X52" s="3"/>
      <c r="Y52" s="3" t="s">
        <v>184</v>
      </c>
      <c r="Z52" s="3" t="s">
        <v>166</v>
      </c>
      <c r="AA52" s="1"/>
    </row>
    <row r="53" spans="2:27" ht="116.7" x14ac:dyDescent="0.8">
      <c r="B53" s="3">
        <v>2025</v>
      </c>
      <c r="C53" s="3" t="s">
        <v>79</v>
      </c>
      <c r="D53" s="3" t="s">
        <v>183</v>
      </c>
      <c r="E53" s="3" t="s">
        <v>196</v>
      </c>
      <c r="F53" s="3" t="s">
        <v>122</v>
      </c>
      <c r="G53" s="3" t="s">
        <v>114</v>
      </c>
      <c r="H53" s="3" t="s">
        <v>223</v>
      </c>
      <c r="I53" s="3" t="s">
        <v>212</v>
      </c>
      <c r="J53" s="3"/>
      <c r="K53" s="3"/>
      <c r="L53" s="3"/>
      <c r="M53" s="3"/>
      <c r="N53" s="3" t="s">
        <v>133</v>
      </c>
      <c r="O53" s="3" t="s">
        <v>145</v>
      </c>
      <c r="P53" s="3" t="s">
        <v>159</v>
      </c>
      <c r="Q53" s="3"/>
      <c r="R53" s="3"/>
      <c r="S53" s="3"/>
      <c r="T53" s="3" t="s">
        <v>149</v>
      </c>
      <c r="U53" s="3" t="s">
        <v>158</v>
      </c>
      <c r="V53" s="3" t="s">
        <v>171</v>
      </c>
      <c r="W53" s="3" t="s">
        <v>205</v>
      </c>
      <c r="X53" s="3"/>
      <c r="Y53" s="3" t="s">
        <v>201</v>
      </c>
      <c r="Z53" s="3"/>
      <c r="AA53" s="1"/>
    </row>
    <row r="54" spans="2:27" ht="133.35" x14ac:dyDescent="0.8">
      <c r="B54" s="3">
        <v>2026</v>
      </c>
      <c r="C54" s="3"/>
      <c r="D54" s="3"/>
      <c r="E54" s="3"/>
      <c r="F54" s="3"/>
      <c r="G54" s="3"/>
      <c r="H54" s="3"/>
      <c r="I54" s="3"/>
      <c r="J54" s="3"/>
      <c r="K54" s="3" t="s">
        <v>218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2025-11-07T13:42:52Z</dcterms:modified>
</cp:coreProperties>
</file>